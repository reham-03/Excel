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BB12190-A823-4D9F-9F00-10E8DACB4927}" xr6:coauthVersionLast="47" xr6:coauthVersionMax="47" xr10:uidLastSave="{00000000-0000-0000-0000-000000000000}"/>
  <bookViews>
    <workbookView xWindow="-120" yWindow="-120" windowWidth="20730" windowHeight="11040" activeTab="1" xr2:uid="{8029954F-2461-4C36-A587-22093C1B20D1}"/>
  </bookViews>
  <sheets>
    <sheet name="Analysis" sheetId="1" r:id="rId1"/>
    <sheet name="Dashboard" sheetId="2" r:id="rId2"/>
  </sheets>
  <definedNames>
    <definedName name="_xlchart.v1.0" hidden="1">Analysis!$J$13:$J$19</definedName>
    <definedName name="_xlchart.v1.1" hidden="1">Analysis!$K$13:$K$19</definedName>
    <definedName name="Slicer_Day_Nam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5f5fb9e-7109-4bb3-953b-f5c0ca2d2ccc"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0A4003-A94E-47DA-92B9-DC71FEE47E97}" name="Query - Orders" description="Connection to the 'Orders' query in the workbook." type="100" refreshedVersion="7" minRefreshableVersion="5">
    <extLst>
      <ext xmlns:x15="http://schemas.microsoft.com/office/spreadsheetml/2010/11/main" uri="{DE250136-89BD-433C-8126-D09CA5730AF9}">
        <x15:connection id="00bd1543-6d0f-4a34-9183-d5c7a9678989"/>
      </ext>
    </extLst>
  </connection>
  <connection id="2" xr16:uid="{F5E0B668-4727-4F8B-990F-67F02CB1154B}"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<sst xmlns="http://schemas.openxmlformats.org/spreadsheetml/2006/main" count="59" uniqueCount="39">
  <si>
    <t>1.Total Orders</t>
  </si>
  <si>
    <t>Orders</t>
  </si>
  <si>
    <t>2.Total Sales</t>
  </si>
  <si>
    <t>Sales</t>
  </si>
  <si>
    <t>3.Items</t>
  </si>
  <si>
    <t>Items</t>
  </si>
  <si>
    <t>4.Most Popular Coffee</t>
  </si>
  <si>
    <t>Row Labels</t>
  </si>
  <si>
    <t>Americano</t>
  </si>
  <si>
    <t>Americano With Milk</t>
  </si>
  <si>
    <t>Cappuccino</t>
  </si>
  <si>
    <t>Cocoa</t>
  </si>
  <si>
    <t>Cortado</t>
  </si>
  <si>
    <t>Espresso</t>
  </si>
  <si>
    <t>Hot Chocolate</t>
  </si>
  <si>
    <t>Latte</t>
  </si>
  <si>
    <t>Grand Total</t>
  </si>
  <si>
    <t>5.Orders by Month</t>
  </si>
  <si>
    <t>Mar</t>
  </si>
  <si>
    <t>Apr</t>
  </si>
  <si>
    <t>May</t>
  </si>
  <si>
    <t>Jun</t>
  </si>
  <si>
    <t>Jul</t>
  </si>
  <si>
    <t>Aug</t>
  </si>
  <si>
    <t>6.Orders by day</t>
  </si>
  <si>
    <t>Friday</t>
  </si>
  <si>
    <t>Monday</t>
  </si>
  <si>
    <t>Saturday</t>
  </si>
  <si>
    <t>Sunday</t>
  </si>
  <si>
    <t>Thursday</t>
  </si>
  <si>
    <t>Tuesday</t>
  </si>
  <si>
    <t>Wednesday</t>
  </si>
  <si>
    <t>7.Orders by Shift</t>
  </si>
  <si>
    <t>Afternoon</t>
  </si>
  <si>
    <t>Evening</t>
  </si>
  <si>
    <t>Morning</t>
  </si>
  <si>
    <t>8.Orders by Payment Method</t>
  </si>
  <si>
    <t>Card</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</si>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</sst>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E8DCC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right"/>
    </xf>
    <xf numFmtId="164" fontId="0" fillId="0" borderId="0" xfId="0" applyNumberFormat="1"/>
    <xf numFmtId="0" fontId="0" fillId="0" borderId="0" xfId="0" applyAlignment="1">
      <alignment horizontal="left"/>
    </xf>
    <xf numFmtId="0" fontId="0" fillId="2" borderId="0" xfId="0" applyFill="1"/>
    <xf numFmtId="0" fontId="0" fillId="3" borderId="0" xfId="0" applyFill="1"/>
  </cellXfs>
  <cellStyles count="1">
    <cellStyle name="Normal" xfId="0" builtinId="0"/>
  </cellStyles>
  <dxfs count="1">
    <dxf>
      <font>
        <sz val="14"/>
        <color theme="0"/>
      </font>
      <fill>
        <patternFill>
          <bgColor rgb="FFC7A27A"/>
        </patternFill>
      </fill>
    </dxf>
  </dxfs>
  <tableStyles count="1" defaultTableStyle="TableStyleMedium2" defaultPivotStyle="PivotStyleLight16">
    <tableStyle name="Slicer Style 1" pivot="0" table="0" count="1" xr9:uid="{D27C8862-679B-40EE-B7DE-2BBE01738F20}">
      <tableStyleElement type="wholeTable" dxfId="0"/>
    </tableStyle>
  </tableStyles>
  <colors>
    <mruColors>
      <color rgb="FFE8DCC3"/>
      <color rgb="FFC7A27A"/>
      <color rgb="FF5A3825"/>
      <color rgb="FFFFE6A7"/>
      <color rgb="FFBB9457"/>
      <color rgb="FF99582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 Analysis Coffee.xlsx]Analysis!PivotTable5</c:name>
    <c:fmtId val="2"/>
  </c:pivotSource>
  <c:chart>
    <c:title>
      <c:tx>
        <c:rich>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r>
              <a:rPr lang="en-US" sz="2000" b="1" i="0" u="none" strike="noStrike" baseline="0">
                <a:solidFill>
                  <a:srgbClr val="5A3825"/>
                </a:solidFill>
                <a:effectLst/>
              </a:rPr>
              <a:t>Most Popular Coffee</a:t>
            </a:r>
            <a:r>
              <a:rPr lang="en-US" sz="2000" b="1" i="0" u="none" strike="noStrike" baseline="0">
                <a:solidFill>
                  <a:srgbClr val="5A3825"/>
                </a:solidFill>
              </a:rPr>
              <a:t> </a:t>
            </a:r>
            <a:endParaRPr lang="en-US" sz="2000" b="1" baseline="0">
              <a:solidFill>
                <a:srgbClr val="5A3825"/>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endParaRPr lang="en-US"/>
        </a:p>
      </c:txPr>
    </c:title>
    <c:autoTitleDeleted val="0"/>
    <c:pivotFmts>
      <c:pivotFmt>
        <c:idx val="0"/>
        <c:spPr>
          <a:solidFill>
            <a:srgbClr val="995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5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A38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55218466112566E-2"/>
          <c:y val="0.13833193343366507"/>
          <c:w val="0.70234956825545203"/>
          <c:h val="0.42882967717603315"/>
        </c:manualLayout>
      </c:layout>
      <c:barChart>
        <c:barDir val="col"/>
        <c:grouping val="clustered"/>
        <c:varyColors val="0"/>
        <c:ser>
          <c:idx val="0"/>
          <c:order val="0"/>
          <c:tx>
            <c:strRef>
              <c:f>Analysis!$E$2</c:f>
              <c:strCache>
                <c:ptCount val="1"/>
                <c:pt idx="0">
                  <c:v>Total</c:v>
                </c:pt>
              </c:strCache>
            </c:strRef>
          </c:tx>
          <c:spPr>
            <a:solidFill>
              <a:srgbClr val="5A38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Analysis!$D$3:$D$11</c:f>
              <c:strCache>
                <c:ptCount val="8"/>
                <c:pt idx="0">
                  <c:v>Cocoa</c:v>
                </c:pt>
                <c:pt idx="1">
                  <c:v>Espresso</c:v>
                </c:pt>
                <c:pt idx="2">
                  <c:v>Hot Chocolate</c:v>
                </c:pt>
                <c:pt idx="3">
                  <c:v>Cortado</c:v>
                </c:pt>
                <c:pt idx="4">
                  <c:v>Americano</c:v>
                </c:pt>
                <c:pt idx="5">
                  <c:v>Cappuccino</c:v>
                </c:pt>
                <c:pt idx="6">
                  <c:v>Latte</c:v>
                </c:pt>
                <c:pt idx="7">
                  <c:v>Americano With Milk</c:v>
                </c:pt>
              </c:strCache>
            </c:strRef>
          </c:cat>
          <c:val>
            <c:numRef>
              <c:f>Analysis!$E$3:$E$11</c:f>
              <c:numCache>
                <c:formatCode>General</c:formatCode>
                <c:ptCount val="8"/>
                <c:pt idx="0">
                  <c:v>44</c:v>
                </c:pt>
                <c:pt idx="1">
                  <c:v>59</c:v>
                </c:pt>
                <c:pt idx="2">
                  <c:v>79</c:v>
                </c:pt>
                <c:pt idx="3">
                  <c:v>123</c:v>
                </c:pt>
                <c:pt idx="4">
                  <c:v>185</c:v>
                </c:pt>
                <c:pt idx="5">
                  <c:v>222</c:v>
                </c:pt>
                <c:pt idx="6">
                  <c:v>282</c:v>
                </c:pt>
                <c:pt idx="7">
                  <c:v>319</c:v>
                </c:pt>
              </c:numCache>
            </c:numRef>
          </c:val>
          <c:extLst>
            <c:ext xmlns:c16="http://schemas.microsoft.com/office/drawing/2014/chart" uri="{C3380CC4-5D6E-409C-BE32-E72D297353CC}">
              <c16:uniqueId val="{00000000-8BA4-4FB2-A5C1-45BE84A18E8C}"/>
            </c:ext>
          </c:extLst>
        </c:ser>
        <c:dLbls>
          <c:dLblPos val="outEnd"/>
          <c:showLegendKey val="0"/>
          <c:showVal val="1"/>
          <c:showCatName val="0"/>
          <c:showSerName val="0"/>
          <c:showPercent val="0"/>
          <c:showBubbleSize val="0"/>
        </c:dLbls>
        <c:gapWidth val="219"/>
        <c:overlap val="-27"/>
        <c:axId val="67699463"/>
        <c:axId val="67699791"/>
      </c:barChart>
      <c:catAx>
        <c:axId val="6769946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699791"/>
        <c:crosses val="autoZero"/>
        <c:auto val="1"/>
        <c:lblAlgn val="ctr"/>
        <c:lblOffset val="100"/>
        <c:noMultiLvlLbl val="0"/>
      </c:catAx>
      <c:valAx>
        <c:axId val="67699791"/>
        <c:scaling>
          <c:orientation val="minMax"/>
        </c:scaling>
        <c:delete val="1"/>
        <c:axPos val="r"/>
        <c:numFmt formatCode="General" sourceLinked="1"/>
        <c:majorTickMark val="none"/>
        <c:minorTickMark val="none"/>
        <c:tickLblPos val="nextTo"/>
        <c:crossAx val="67699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7A27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 Analysis Coffee.xlsx]Analysis!PivotTable6</c:name>
    <c:fmtId val="2"/>
  </c:pivotSource>
  <c:chart>
    <c:title>
      <c:tx>
        <c:rich>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r>
              <a:rPr lang="en-US" sz="2000" b="1" baseline="0">
                <a:solidFill>
                  <a:srgbClr val="5A3825"/>
                </a:solidFill>
              </a:rPr>
              <a:t>Orders by Month</a:t>
            </a:r>
          </a:p>
        </c:rich>
      </c:tx>
      <c:layout>
        <c:manualLayout>
          <c:xMode val="edge"/>
          <c:yMode val="edge"/>
          <c:x val="0.39377944654446562"/>
          <c:y val="9.8337902106153115E-4"/>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endParaRPr lang="en-US"/>
        </a:p>
      </c:txPr>
    </c:title>
    <c:autoTitleDeleted val="0"/>
    <c:pivotFmts>
      <c:pivotFmt>
        <c:idx val="0"/>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A38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98134524828275E-2"/>
          <c:y val="0.23213644373951897"/>
          <c:w val="0.93888888888888888"/>
          <c:h val="0.63482716326443567"/>
        </c:manualLayout>
      </c:layout>
      <c:lineChart>
        <c:grouping val="standard"/>
        <c:varyColors val="0"/>
        <c:ser>
          <c:idx val="0"/>
          <c:order val="0"/>
          <c:tx>
            <c:strRef>
              <c:f>Analysis!$H$2</c:f>
              <c:strCache>
                <c:ptCount val="1"/>
                <c:pt idx="0">
                  <c:v>Total</c:v>
                </c:pt>
              </c:strCache>
            </c:strRef>
          </c:tx>
          <c:spPr>
            <a:ln w="28575" cap="rnd">
              <a:solidFill>
                <a:srgbClr val="5A382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Mar</c:v>
                </c:pt>
                <c:pt idx="1">
                  <c:v>Apr</c:v>
                </c:pt>
                <c:pt idx="2">
                  <c:v>May</c:v>
                </c:pt>
                <c:pt idx="3">
                  <c:v>Jun</c:v>
                </c:pt>
                <c:pt idx="4">
                  <c:v>Jul</c:v>
                </c:pt>
                <c:pt idx="5">
                  <c:v>Aug</c:v>
                </c:pt>
              </c:strCache>
            </c:strRef>
          </c:cat>
          <c:val>
            <c:numRef>
              <c:f>Analysis!$H$3:$H$9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E448-43B2-8FBB-7AC7B3B94B4B}"/>
            </c:ext>
          </c:extLst>
        </c:ser>
        <c:dLbls>
          <c:dLblPos val="t"/>
          <c:showLegendKey val="0"/>
          <c:showVal val="1"/>
          <c:showCatName val="0"/>
          <c:showSerName val="0"/>
          <c:showPercent val="0"/>
          <c:showBubbleSize val="0"/>
        </c:dLbls>
        <c:smooth val="0"/>
        <c:axId val="67723407"/>
        <c:axId val="67726687"/>
      </c:lineChart>
      <c:catAx>
        <c:axId val="6772340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mn-lt"/>
                <a:ea typeface="+mn-ea"/>
                <a:cs typeface="+mn-cs"/>
              </a:defRPr>
            </a:pPr>
            <a:endParaRPr lang="en-US"/>
          </a:p>
        </c:txPr>
        <c:crossAx val="67726687"/>
        <c:crosses val="autoZero"/>
        <c:auto val="1"/>
        <c:lblAlgn val="ctr"/>
        <c:lblOffset val="100"/>
        <c:noMultiLvlLbl val="0"/>
      </c:catAx>
      <c:valAx>
        <c:axId val="67726687"/>
        <c:scaling>
          <c:orientation val="minMax"/>
        </c:scaling>
        <c:delete val="1"/>
        <c:axPos val="r"/>
        <c:numFmt formatCode="General" sourceLinked="1"/>
        <c:majorTickMark val="none"/>
        <c:minorTickMark val="none"/>
        <c:tickLblPos val="nextTo"/>
        <c:crossAx val="6772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7A27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 Analysis Coffee.xlsx]Analysis!PivotTable8</c:name>
    <c:fmtId val="2"/>
  </c:pivotSource>
  <c:chart>
    <c:title>
      <c:tx>
        <c:rich>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r>
              <a:rPr lang="en-US" sz="2000" b="1" baseline="0">
                <a:solidFill>
                  <a:srgbClr val="5A3825"/>
                </a:solidFill>
              </a:rPr>
              <a:t>Orders by Shiftl</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5A3825"/>
              </a:solidFill>
              <a:latin typeface="+mn-lt"/>
              <a:ea typeface="+mn-ea"/>
              <a:cs typeface="+mn-cs"/>
            </a:defRPr>
          </a:pPr>
          <a:endParaRPr lang="en-US"/>
        </a:p>
      </c:txPr>
    </c:title>
    <c:autoTitleDeleted val="0"/>
    <c:pivotFmts>
      <c:pivotFmt>
        <c:idx val="0"/>
        <c:spPr>
          <a:solidFill>
            <a:srgbClr val="FFE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E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A382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410221661653"/>
          <c:y val="0.22012793959422858"/>
          <c:w val="0.81746772881459995"/>
          <c:h val="0.6735889804355385"/>
        </c:manualLayout>
      </c:layout>
      <c:barChart>
        <c:barDir val="bar"/>
        <c:grouping val="clustered"/>
        <c:varyColors val="0"/>
        <c:ser>
          <c:idx val="0"/>
          <c:order val="0"/>
          <c:tx>
            <c:strRef>
              <c:f>Analysis!$N$2</c:f>
              <c:strCache>
                <c:ptCount val="1"/>
                <c:pt idx="0">
                  <c:v>Total</c:v>
                </c:pt>
              </c:strCache>
            </c:strRef>
          </c:tx>
          <c:spPr>
            <a:solidFill>
              <a:srgbClr val="5A38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Evening</c:v>
                </c:pt>
                <c:pt idx="1">
                  <c:v>Afternoon</c:v>
                </c:pt>
                <c:pt idx="2">
                  <c:v>Morning</c:v>
                </c:pt>
              </c:strCache>
            </c:strRef>
          </c:cat>
          <c:val>
            <c:numRef>
              <c:f>Analysis!$N$3:$N$6</c:f>
              <c:numCache>
                <c:formatCode>General</c:formatCode>
                <c:ptCount val="3"/>
                <c:pt idx="0">
                  <c:v>383</c:v>
                </c:pt>
                <c:pt idx="1">
                  <c:v>420</c:v>
                </c:pt>
                <c:pt idx="2">
                  <c:v>510</c:v>
                </c:pt>
              </c:numCache>
            </c:numRef>
          </c:val>
          <c:extLst>
            <c:ext xmlns:c16="http://schemas.microsoft.com/office/drawing/2014/chart" uri="{C3380CC4-5D6E-409C-BE32-E72D297353CC}">
              <c16:uniqueId val="{00000000-E8A6-4951-A362-2E8296D62D26}"/>
            </c:ext>
          </c:extLst>
        </c:ser>
        <c:dLbls>
          <c:dLblPos val="outEnd"/>
          <c:showLegendKey val="0"/>
          <c:showVal val="1"/>
          <c:showCatName val="0"/>
          <c:showSerName val="0"/>
          <c:showPercent val="0"/>
          <c:showBubbleSize val="0"/>
        </c:dLbls>
        <c:gapWidth val="182"/>
        <c:axId val="73315687"/>
        <c:axId val="73315031"/>
      </c:barChart>
      <c:catAx>
        <c:axId val="7331568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bg1"/>
                </a:solidFill>
                <a:latin typeface="+mn-lt"/>
                <a:ea typeface="+mn-ea"/>
                <a:cs typeface="+mn-cs"/>
              </a:defRPr>
            </a:pPr>
            <a:endParaRPr lang="en-US"/>
          </a:p>
        </c:txPr>
        <c:crossAx val="73315031"/>
        <c:crosses val="autoZero"/>
        <c:auto val="1"/>
        <c:lblAlgn val="ctr"/>
        <c:lblOffset val="100"/>
        <c:noMultiLvlLbl val="0"/>
      </c:catAx>
      <c:valAx>
        <c:axId val="73315031"/>
        <c:scaling>
          <c:orientation val="minMax"/>
        </c:scaling>
        <c:delete val="1"/>
        <c:axPos val="t"/>
        <c:numFmt formatCode="General" sourceLinked="1"/>
        <c:majorTickMark val="out"/>
        <c:minorTickMark val="none"/>
        <c:tickLblPos val="nextTo"/>
        <c:crossAx val="73315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7A27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 Analysis Coffee.xlsx]Analysis!PivotTable9</c:name>
    <c:fmtId val="2"/>
  </c:pivotSource>
  <c:chart>
    <c:title>
      <c:tx>
        <c:rich>
          <a:bodyPr rot="0" spcFirstLastPara="1" vertOverflow="ellipsis" vert="horz" wrap="square" anchor="ctr" anchorCtr="1"/>
          <a:lstStyle/>
          <a:p>
            <a:pPr algn="ctr">
              <a:defRPr sz="2000" b="1" i="0" u="none" strike="noStrike" kern="1200" spc="0" baseline="0">
                <a:solidFill>
                  <a:srgbClr val="5A3825"/>
                </a:solidFill>
                <a:latin typeface="+mn-lt"/>
                <a:ea typeface="+mn-ea"/>
                <a:cs typeface="+mn-cs"/>
              </a:defRPr>
            </a:pPr>
            <a:r>
              <a:rPr lang="en-US" sz="2000" b="1" baseline="0">
                <a:solidFill>
                  <a:srgbClr val="5A3825"/>
                </a:solidFill>
              </a:rPr>
              <a:t>Orders by Payment Method</a:t>
            </a:r>
          </a:p>
        </c:rich>
      </c:tx>
      <c:layout>
        <c:manualLayout>
          <c:xMode val="edge"/>
          <c:yMode val="edge"/>
          <c:x val="0.21844706629622976"/>
          <c:y val="1.0696799635466544E-2"/>
        </c:manualLayout>
      </c:layout>
      <c:overlay val="0"/>
      <c:spPr>
        <a:noFill/>
        <a:ln>
          <a:noFill/>
        </a:ln>
        <a:effectLst/>
      </c:spPr>
      <c:txPr>
        <a:bodyPr rot="0" spcFirstLastPara="1" vertOverflow="ellipsis" vert="horz" wrap="square" anchor="ctr" anchorCtr="1"/>
        <a:lstStyle/>
        <a:p>
          <a:pPr algn="ctr">
            <a:defRPr sz="2000" b="1" i="0" u="none" strike="noStrike" kern="1200" spc="0" baseline="0">
              <a:solidFill>
                <a:srgbClr val="5A3825"/>
              </a:solidFill>
              <a:latin typeface="+mn-lt"/>
              <a:ea typeface="+mn-ea"/>
              <a:cs typeface="+mn-cs"/>
            </a:defRPr>
          </a:pPr>
          <a:endParaRPr lang="en-US"/>
        </a:p>
      </c:txPr>
    </c:title>
    <c:autoTitleDeleted val="0"/>
    <c:pivotFmts>
      <c:pivotFmt>
        <c:idx val="0"/>
        <c:spPr>
          <a:solidFill>
            <a:srgbClr val="99582A"/>
          </a:solidFill>
          <a:ln w="19050">
            <a:solidFill>
              <a:schemeClr val="lt1"/>
            </a:solidFill>
          </a:ln>
          <a:effectLst/>
        </c:spPr>
        <c:marker>
          <c:symbol val="none"/>
        </c:marker>
        <c:dLbl>
          <c:idx val="0"/>
          <c:spPr>
            <a:solidFill>
              <a:srgbClr val="BB945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E6A7"/>
          </a:solidFill>
          <a:ln w="19050">
            <a:solidFill>
              <a:schemeClr val="lt1"/>
            </a:solidFill>
          </a:ln>
          <a:effectLst/>
        </c:spPr>
      </c:pivotFmt>
      <c:pivotFmt>
        <c:idx val="2"/>
        <c:spPr>
          <a:solidFill>
            <a:srgbClr val="99582A"/>
          </a:solidFill>
          <a:ln w="19050">
            <a:solidFill>
              <a:schemeClr val="lt1"/>
            </a:solidFill>
          </a:ln>
          <a:effectLst/>
        </c:spPr>
        <c:marker>
          <c:symbol val="none"/>
        </c:marker>
        <c:dLbl>
          <c:idx val="0"/>
          <c:spPr>
            <a:solidFill>
              <a:srgbClr val="BB9457"/>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9582A"/>
          </a:solidFill>
          <a:ln w="19050">
            <a:solidFill>
              <a:schemeClr val="lt1"/>
            </a:solidFill>
          </a:ln>
          <a:effectLst/>
        </c:spPr>
      </c:pivotFmt>
      <c:pivotFmt>
        <c:idx val="4"/>
        <c:spPr>
          <a:solidFill>
            <a:srgbClr val="FFE6A7"/>
          </a:solidFill>
          <a:ln w="19050">
            <a:solidFill>
              <a:schemeClr val="lt1"/>
            </a:solidFill>
          </a:ln>
          <a:effectLst/>
        </c:spPr>
      </c:pivotFmt>
      <c:pivotFmt>
        <c:idx val="5"/>
        <c:spPr>
          <a:solidFill>
            <a:srgbClr val="5A382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5A3825"/>
          </a:solidFill>
          <a:ln w="19050">
            <a:solidFill>
              <a:schemeClr val="lt1"/>
            </a:solidFill>
          </a:ln>
          <a:effectLst/>
        </c:spPr>
        <c:dLbl>
          <c:idx val="0"/>
          <c:layout>
            <c:manualLayout>
              <c:x val="5.8999055888407738E-2"/>
              <c:y val="-1.5777782563106892E-2"/>
            </c:manualLayout>
          </c:layout>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E8DCC3"/>
          </a:solidFill>
          <a:ln w="19050">
            <a:solidFill>
              <a:schemeClr val="lt1"/>
            </a:solidFill>
          </a:ln>
          <a:effectLst/>
        </c:spPr>
      </c:pivotFmt>
    </c:pivotFmts>
    <c:plotArea>
      <c:layout/>
      <c:pieChart>
        <c:varyColors val="1"/>
        <c:ser>
          <c:idx val="0"/>
          <c:order val="0"/>
          <c:tx>
            <c:strRef>
              <c:f>Analysis!$N$10</c:f>
              <c:strCache>
                <c:ptCount val="1"/>
                <c:pt idx="0">
                  <c:v>Total</c:v>
                </c:pt>
              </c:strCache>
            </c:strRef>
          </c:tx>
          <c:spPr>
            <a:solidFill>
              <a:srgbClr val="5A3825"/>
            </a:solidFill>
          </c:spPr>
          <c:dPt>
            <c:idx val="0"/>
            <c:bubble3D val="0"/>
            <c:spPr>
              <a:solidFill>
                <a:srgbClr val="5A3825"/>
              </a:solidFill>
              <a:ln w="19050">
                <a:solidFill>
                  <a:schemeClr val="lt1"/>
                </a:solidFill>
              </a:ln>
              <a:effectLst/>
            </c:spPr>
            <c:extLst>
              <c:ext xmlns:c16="http://schemas.microsoft.com/office/drawing/2014/chart" uri="{C3380CC4-5D6E-409C-BE32-E72D297353CC}">
                <c16:uniqueId val="{00000001-4770-464C-B166-610748B8E6FA}"/>
              </c:ext>
            </c:extLst>
          </c:dPt>
          <c:dPt>
            <c:idx val="1"/>
            <c:bubble3D val="0"/>
            <c:spPr>
              <a:solidFill>
                <a:srgbClr val="E8DCC3"/>
              </a:solidFill>
              <a:ln w="19050">
                <a:solidFill>
                  <a:schemeClr val="lt1"/>
                </a:solidFill>
              </a:ln>
              <a:effectLst/>
            </c:spPr>
            <c:extLst>
              <c:ext xmlns:c16="http://schemas.microsoft.com/office/drawing/2014/chart" uri="{C3380CC4-5D6E-409C-BE32-E72D297353CC}">
                <c16:uniqueId val="{00000003-4770-464C-B166-610748B8E6FA}"/>
              </c:ext>
            </c:extLst>
          </c:dPt>
          <c:dLbls>
            <c:dLbl>
              <c:idx val="0"/>
              <c:layout>
                <c:manualLayout>
                  <c:x val="5.8999055888407738E-2"/>
                  <c:y val="-1.57777825631068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70-464C-B166-610748B8E6FA}"/>
                </c:ext>
              </c:extLst>
            </c:dLbl>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Analysis!$M$11:$M$13</c:f>
              <c:strCache>
                <c:ptCount val="2"/>
                <c:pt idx="0">
                  <c:v>Card</c:v>
                </c:pt>
                <c:pt idx="1">
                  <c:v>Cash</c:v>
                </c:pt>
              </c:strCache>
            </c:strRef>
          </c:cat>
          <c:val>
            <c:numRef>
              <c:f>Analysis!$N$11:$N$13</c:f>
              <c:numCache>
                <c:formatCode>0.0%</c:formatCode>
                <c:ptCount val="2"/>
                <c:pt idx="0">
                  <c:v>0.9322162985529322</c:v>
                </c:pt>
                <c:pt idx="1">
                  <c:v>6.7783701447067787E-2</c:v>
                </c:pt>
              </c:numCache>
            </c:numRef>
          </c:val>
          <c:extLst>
            <c:ext xmlns:c16="http://schemas.microsoft.com/office/drawing/2014/chart" uri="{C3380CC4-5D6E-409C-BE32-E72D297353CC}">
              <c16:uniqueId val="{00000004-4770-464C-B166-610748B8E6FA}"/>
            </c:ext>
          </c:extLst>
        </c:ser>
        <c:dLbls>
          <c:dLblPos val="bestFit"/>
          <c:showLegendKey val="0"/>
          <c:showVal val="1"/>
          <c:showCatName val="0"/>
          <c:showSerName val="0"/>
          <c:showPercent val="0"/>
          <c:showBubbleSize val="0"/>
          <c:showLeaderLines val="0"/>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7A27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cx:v>
        </cx:txData>
      </cx:tx>
      <cx:txPr>
        <a:bodyPr spcFirstLastPara="1" vertOverflow="ellipsis" horzOverflow="overflow" wrap="square" lIns="0" tIns="0" rIns="0" bIns="0" anchor="ctr" anchorCtr="1"/>
        <a:lstStyle/>
        <a:p>
          <a:pPr algn="ctr" rtl="0">
            <a:defRPr sz="2000" b="1" baseline="0">
              <a:solidFill>
                <a:srgbClr val="5A3825"/>
              </a:solidFill>
            </a:defRPr>
          </a:pPr>
          <a:r>
            <a:rPr lang="en-US" sz="2000" b="1" i="0" u="none" strike="noStrike" baseline="0">
              <a:solidFill>
                <a:srgbClr val="5A3825"/>
              </a:solidFill>
              <a:latin typeface="Calibri" panose="020F0502020204030204"/>
            </a:rPr>
            <a:t>Orders by day</a:t>
          </a:r>
        </a:p>
      </cx:txPr>
    </cx:title>
    <cx:plotArea>
      <cx:plotAreaRegion>
        <cx:series layoutId="treemap" uniqueId="{DA456472-15FB-4440-9850-5F5EB8B58211}">
          <cx:spPr>
            <a:solidFill>
              <a:srgbClr val="5A3825"/>
            </a:solidFill>
          </cx:spPr>
          <cx:dataLabels pos="inEnd">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rgbClr val="C7A27A"/>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214648</xdr:colOff>
      <xdr:row>0</xdr:row>
      <xdr:rowOff>1</xdr:rowOff>
    </xdr:from>
    <xdr:ext cx="4762500" cy="937629"/>
    <xdr:sp macro="" textlink="">
      <xdr:nvSpPr>
        <xdr:cNvPr id="2" name="Rectangle 1">
          <a:extLst>
            <a:ext uri="{FF2B5EF4-FFF2-40B4-BE49-F238E27FC236}">
              <a16:creationId xmlns:a16="http://schemas.microsoft.com/office/drawing/2014/main" id="{373D7A8E-C1FE-44E0-B223-E36F7E2E5BEF}"/>
            </a:ext>
          </a:extLst>
        </xdr:cNvPr>
        <xdr:cNvSpPr/>
      </xdr:nvSpPr>
      <xdr:spPr>
        <a:xfrm flipH="1">
          <a:off x="1167148" y="1"/>
          <a:ext cx="4762500" cy="937629"/>
        </a:xfrm>
        <a:prstGeom prst="rect">
          <a:avLst/>
        </a:prstGeom>
        <a:noFill/>
      </xdr:spPr>
      <xdr:txBody>
        <a:bodyPr wrap="square" lIns="91440" tIns="45720" rIns="91440" bIns="45720">
          <a:spAutoFit/>
        </a:bodyPr>
        <a:lstStyle/>
        <a:p>
          <a:pPr algn="ctr"/>
          <a:r>
            <a:rPr lang="en-US" sz="5400" b="0" cap="none" spc="0">
              <a:ln w="0"/>
              <a:solidFill>
                <a:srgbClr val="5A3825"/>
              </a:solidFill>
              <a:effectLst>
                <a:outerShdw blurRad="38100" dist="19050" dir="2700000" algn="tl" rotWithShape="0">
                  <a:schemeClr val="dk1">
                    <a:alpha val="40000"/>
                  </a:schemeClr>
                </a:outerShdw>
              </a:effectLst>
            </a:rPr>
            <a:t>Costa</a:t>
          </a:r>
          <a:r>
            <a:rPr lang="en-US" sz="5400" b="0" cap="none" spc="0" baseline="0">
              <a:ln w="0"/>
              <a:solidFill>
                <a:srgbClr val="5A3825"/>
              </a:solidFill>
              <a:effectLst>
                <a:outerShdw blurRad="38100" dist="19050" dir="2700000" algn="tl" rotWithShape="0">
                  <a:schemeClr val="dk1">
                    <a:alpha val="40000"/>
                  </a:schemeClr>
                </a:outerShdw>
              </a:effectLst>
            </a:rPr>
            <a:t> Cafe</a:t>
          </a:r>
          <a:endParaRPr lang="en-US" sz="5400" b="0" cap="none" spc="0">
            <a:ln w="0"/>
            <a:solidFill>
              <a:srgbClr val="5A3825"/>
            </a:solidFill>
            <a:effectLst>
              <a:outerShdw blurRad="38100" dist="19050" dir="2700000" algn="tl" rotWithShape="0">
                <a:schemeClr val="dk1">
                  <a:alpha val="40000"/>
                </a:schemeClr>
              </a:outerShdw>
            </a:effectLst>
          </a:endParaRPr>
        </a:p>
      </xdr:txBody>
    </xdr:sp>
    <xdr:clientData/>
  </xdr:oneCellAnchor>
  <xdr:twoCellAnchor>
    <xdr:from>
      <xdr:col>1</xdr:col>
      <xdr:colOff>441167</xdr:colOff>
      <xdr:row>5</xdr:row>
      <xdr:rowOff>26830</xdr:rowOff>
    </xdr:from>
    <xdr:to>
      <xdr:col>7</xdr:col>
      <xdr:colOff>321972</xdr:colOff>
      <xdr:row>10</xdr:row>
      <xdr:rowOff>147570</xdr:rowOff>
    </xdr:to>
    <xdr:grpSp>
      <xdr:nvGrpSpPr>
        <xdr:cNvPr id="7" name="Group 6">
          <a:extLst>
            <a:ext uri="{FF2B5EF4-FFF2-40B4-BE49-F238E27FC236}">
              <a16:creationId xmlns:a16="http://schemas.microsoft.com/office/drawing/2014/main" id="{105DBD73-183D-4351-9448-BF6B1CEBE0DB}"/>
            </a:ext>
          </a:extLst>
        </xdr:cNvPr>
        <xdr:cNvGrpSpPr/>
      </xdr:nvGrpSpPr>
      <xdr:grpSpPr>
        <a:xfrm flipH="1">
          <a:off x="789970" y="965915"/>
          <a:ext cx="3502988" cy="1059824"/>
          <a:chOff x="10044093504" y="1556417"/>
          <a:chExt cx="2423583" cy="1068917"/>
        </a:xfrm>
      </xdr:grpSpPr>
      <xdr:sp macro="" textlink="">
        <xdr:nvSpPr>
          <xdr:cNvPr id="5" name="Rectangle 4">
            <a:extLst>
              <a:ext uri="{FF2B5EF4-FFF2-40B4-BE49-F238E27FC236}">
                <a16:creationId xmlns:a16="http://schemas.microsoft.com/office/drawing/2014/main" id="{91BA1482-CF48-4B0C-B6F9-8A0C45EE8022}"/>
              </a:ext>
            </a:extLst>
          </xdr:cNvPr>
          <xdr:cNvSpPr/>
        </xdr:nvSpPr>
        <xdr:spPr>
          <a:xfrm>
            <a:off x="10044093504" y="1556417"/>
            <a:ext cx="2423583" cy="1068917"/>
          </a:xfrm>
          <a:prstGeom prst="rect">
            <a:avLst/>
          </a:prstGeom>
          <a:solidFill>
            <a:srgbClr val="C7A2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2400">
                <a:solidFill>
                  <a:schemeClr val="bg1"/>
                </a:solidFill>
              </a:rPr>
              <a:t>Sales</a:t>
            </a:r>
          </a:p>
          <a:p>
            <a:pPr algn="r" rtl="1"/>
            <a:endParaRPr lang="en-US" sz="1100"/>
          </a:p>
          <a:p>
            <a:pPr algn="r" rtl="1"/>
            <a:endParaRPr lang="en-US" sz="1100"/>
          </a:p>
        </xdr:txBody>
      </xdr:sp>
      <xdr:sp macro="" textlink="Analysis!$A$7">
        <xdr:nvSpPr>
          <xdr:cNvPr id="6" name="TextBox 5">
            <a:extLst>
              <a:ext uri="{FF2B5EF4-FFF2-40B4-BE49-F238E27FC236}">
                <a16:creationId xmlns:a16="http://schemas.microsoft.com/office/drawing/2014/main" id="{7D848E2A-077E-46D5-8DA6-7CFCDA043DF2}"/>
              </a:ext>
            </a:extLst>
          </xdr:cNvPr>
          <xdr:cNvSpPr txBox="1"/>
        </xdr:nvSpPr>
        <xdr:spPr>
          <a:xfrm>
            <a:off x="10044668347" y="2122013"/>
            <a:ext cx="1153583" cy="338666"/>
          </a:xfrm>
          <a:prstGeom prst="rect">
            <a:avLst/>
          </a:prstGeom>
          <a:solidFill>
            <a:srgbClr val="C7A27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F98395E2-C125-41E5-8998-5E3DD938FD90}" type="TxLink">
              <a:rPr lang="en-US" sz="1800" b="0" i="0" u="none" strike="noStrike">
                <a:solidFill>
                  <a:schemeClr val="bg1"/>
                </a:solidFill>
                <a:latin typeface="Calibri"/>
                <a:ea typeface="Calibri"/>
                <a:cs typeface="Calibri"/>
              </a:rPr>
              <a:pPr algn="ctr" rtl="1"/>
              <a:t>42627.58</a:t>
            </a:fld>
            <a:endParaRPr lang="en-US" sz="1800">
              <a:solidFill>
                <a:schemeClr val="bg1"/>
              </a:solidFill>
            </a:endParaRPr>
          </a:p>
        </xdr:txBody>
      </xdr:sp>
    </xdr:grpSp>
    <xdr:clientData/>
  </xdr:twoCellAnchor>
  <xdr:twoCellAnchor>
    <xdr:from>
      <xdr:col>7</xdr:col>
      <xdr:colOff>550034</xdr:colOff>
      <xdr:row>5</xdr:row>
      <xdr:rowOff>53661</xdr:rowOff>
    </xdr:from>
    <xdr:to>
      <xdr:col>13</xdr:col>
      <xdr:colOff>107322</xdr:colOff>
      <xdr:row>10</xdr:row>
      <xdr:rowOff>174401</xdr:rowOff>
    </xdr:to>
    <xdr:grpSp>
      <xdr:nvGrpSpPr>
        <xdr:cNvPr id="25" name="Group 24">
          <a:extLst>
            <a:ext uri="{FF2B5EF4-FFF2-40B4-BE49-F238E27FC236}">
              <a16:creationId xmlns:a16="http://schemas.microsoft.com/office/drawing/2014/main" id="{1E77898F-227E-4DF5-82CE-6004900DFC5F}"/>
            </a:ext>
          </a:extLst>
        </xdr:cNvPr>
        <xdr:cNvGrpSpPr/>
      </xdr:nvGrpSpPr>
      <xdr:grpSpPr>
        <a:xfrm flipH="1">
          <a:off x="4521020" y="992746"/>
          <a:ext cx="3179471" cy="1059824"/>
          <a:chOff x="10043901415" y="1571273"/>
          <a:chExt cx="2423583" cy="1068917"/>
        </a:xfrm>
      </xdr:grpSpPr>
      <xdr:sp macro="" textlink="">
        <xdr:nvSpPr>
          <xdr:cNvPr id="26" name="Rectangle 25">
            <a:extLst>
              <a:ext uri="{FF2B5EF4-FFF2-40B4-BE49-F238E27FC236}">
                <a16:creationId xmlns:a16="http://schemas.microsoft.com/office/drawing/2014/main" id="{E120D4F9-89E6-4BA6-BEE4-8BA042207274}"/>
              </a:ext>
            </a:extLst>
          </xdr:cNvPr>
          <xdr:cNvSpPr/>
        </xdr:nvSpPr>
        <xdr:spPr>
          <a:xfrm>
            <a:off x="10043901415" y="1571273"/>
            <a:ext cx="2423583" cy="1068917"/>
          </a:xfrm>
          <a:prstGeom prst="rect">
            <a:avLst/>
          </a:prstGeom>
          <a:solidFill>
            <a:srgbClr val="C7A2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rtl="1"/>
            <a:r>
              <a:rPr lang="en-US" sz="2400">
                <a:solidFill>
                  <a:schemeClr val="bg1"/>
                </a:solidFill>
                <a:latin typeface="+mn-lt"/>
                <a:ea typeface="+mn-ea"/>
                <a:cs typeface="+mn-cs"/>
              </a:rPr>
              <a:t>Items</a:t>
            </a:r>
          </a:p>
          <a:p>
            <a:pPr marL="0" indent="0" algn="r" rtl="1"/>
            <a:endParaRPr lang="en-US" sz="2400">
              <a:solidFill>
                <a:schemeClr val="bg1"/>
              </a:solidFill>
              <a:latin typeface="+mn-lt"/>
              <a:ea typeface="+mn-ea"/>
              <a:cs typeface="+mn-cs"/>
            </a:endParaRPr>
          </a:p>
          <a:p>
            <a:pPr marL="0" indent="0" algn="r" rtl="1"/>
            <a:endParaRPr lang="en-US" sz="2400">
              <a:solidFill>
                <a:schemeClr val="bg1"/>
              </a:solidFill>
              <a:latin typeface="+mn-lt"/>
              <a:ea typeface="+mn-ea"/>
              <a:cs typeface="+mn-cs"/>
            </a:endParaRPr>
          </a:p>
        </xdr:txBody>
      </xdr:sp>
      <xdr:sp macro="" textlink="Analysis!$A$12">
        <xdr:nvSpPr>
          <xdr:cNvPr id="27" name="TextBox 26">
            <a:extLst>
              <a:ext uri="{FF2B5EF4-FFF2-40B4-BE49-F238E27FC236}">
                <a16:creationId xmlns:a16="http://schemas.microsoft.com/office/drawing/2014/main" id="{AA5E47AD-D786-4630-9B0A-7744CB5EE1CB}"/>
              </a:ext>
            </a:extLst>
          </xdr:cNvPr>
          <xdr:cNvSpPr txBox="1"/>
        </xdr:nvSpPr>
        <xdr:spPr>
          <a:xfrm>
            <a:off x="10044578167" y="2031999"/>
            <a:ext cx="1153583" cy="480816"/>
          </a:xfrm>
          <a:prstGeom prst="rect">
            <a:avLst/>
          </a:prstGeom>
          <a:solidFill>
            <a:srgbClr val="C7A2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rtl="1"/>
            <a:fld id="{6C1D289E-98C7-445B-ADDF-D1DBBFEABF64}" type="TxLink">
              <a:rPr lang="en-US" sz="2400">
                <a:solidFill>
                  <a:schemeClr val="bg1"/>
                </a:solidFill>
                <a:latin typeface="+mn-lt"/>
                <a:ea typeface="+mn-ea"/>
                <a:cs typeface="+mn-cs"/>
              </a:rPr>
              <a:pPr marL="0" indent="0" algn="ctr" rtl="1"/>
              <a:t>8</a:t>
            </a:fld>
            <a:endParaRPr lang="en-US" sz="2400">
              <a:solidFill>
                <a:schemeClr val="bg1"/>
              </a:solidFill>
              <a:latin typeface="+mn-lt"/>
              <a:ea typeface="+mn-ea"/>
              <a:cs typeface="+mn-cs"/>
            </a:endParaRPr>
          </a:p>
        </xdr:txBody>
      </xdr:sp>
    </xdr:grpSp>
    <xdr:clientData/>
  </xdr:twoCellAnchor>
  <xdr:twoCellAnchor>
    <xdr:from>
      <xdr:col>13</xdr:col>
      <xdr:colOff>321530</xdr:colOff>
      <xdr:row>5</xdr:row>
      <xdr:rowOff>58948</xdr:rowOff>
    </xdr:from>
    <xdr:to>
      <xdr:col>18</xdr:col>
      <xdr:colOff>442710</xdr:colOff>
      <xdr:row>11</xdr:row>
      <xdr:rowOff>13414</xdr:rowOff>
    </xdr:to>
    <xdr:grpSp>
      <xdr:nvGrpSpPr>
        <xdr:cNvPr id="31" name="Group 30">
          <a:extLst>
            <a:ext uri="{FF2B5EF4-FFF2-40B4-BE49-F238E27FC236}">
              <a16:creationId xmlns:a16="http://schemas.microsoft.com/office/drawing/2014/main" id="{3B531664-FB10-4F08-89AD-172E1CE2A325}"/>
            </a:ext>
          </a:extLst>
        </xdr:cNvPr>
        <xdr:cNvGrpSpPr/>
      </xdr:nvGrpSpPr>
      <xdr:grpSpPr>
        <a:xfrm flipH="1">
          <a:off x="7914699" y="998033"/>
          <a:ext cx="3139666" cy="1081367"/>
          <a:chOff x="10044122601" y="1570872"/>
          <a:chExt cx="2423583" cy="1068917"/>
        </a:xfrm>
      </xdr:grpSpPr>
      <xdr:sp macro="" textlink="">
        <xdr:nvSpPr>
          <xdr:cNvPr id="32" name="Rectangle 31">
            <a:extLst>
              <a:ext uri="{FF2B5EF4-FFF2-40B4-BE49-F238E27FC236}">
                <a16:creationId xmlns:a16="http://schemas.microsoft.com/office/drawing/2014/main" id="{6B05A197-0F92-4D83-8260-ADCB8560548D}"/>
              </a:ext>
            </a:extLst>
          </xdr:cNvPr>
          <xdr:cNvSpPr/>
        </xdr:nvSpPr>
        <xdr:spPr>
          <a:xfrm>
            <a:off x="10044122601" y="1570872"/>
            <a:ext cx="2423583" cy="1068917"/>
          </a:xfrm>
          <a:prstGeom prst="rect">
            <a:avLst/>
          </a:prstGeom>
          <a:solidFill>
            <a:srgbClr val="C7A2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2400" b="0">
                <a:solidFill>
                  <a:schemeClr val="bg1"/>
                </a:solidFill>
              </a:rPr>
              <a:t>Orders</a:t>
            </a:r>
          </a:p>
          <a:p>
            <a:pPr algn="r" rtl="1"/>
            <a:endParaRPr lang="en-US" sz="1100"/>
          </a:p>
          <a:p>
            <a:pPr algn="r" rtl="1"/>
            <a:endParaRPr lang="en-US" sz="1100"/>
          </a:p>
        </xdr:txBody>
      </xdr:sp>
      <xdr:sp macro="" textlink="Analysis!$A$3">
        <xdr:nvSpPr>
          <xdr:cNvPr id="33" name="TextBox 32">
            <a:extLst>
              <a:ext uri="{FF2B5EF4-FFF2-40B4-BE49-F238E27FC236}">
                <a16:creationId xmlns:a16="http://schemas.microsoft.com/office/drawing/2014/main" id="{094DA1A4-25A9-4B89-B106-B8F6F29B4238}"/>
              </a:ext>
            </a:extLst>
          </xdr:cNvPr>
          <xdr:cNvSpPr txBox="1"/>
        </xdr:nvSpPr>
        <xdr:spPr>
          <a:xfrm>
            <a:off x="10044668347" y="2122013"/>
            <a:ext cx="1153583" cy="338666"/>
          </a:xfrm>
          <a:prstGeom prst="rect">
            <a:avLst/>
          </a:prstGeom>
          <a:solidFill>
            <a:srgbClr val="C7A27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96B12226-F50F-4AE9-BE36-5DB0B0DB1A88}" type="TxLink">
              <a:rPr lang="en-US" sz="1800" b="0" i="0" u="none" strike="noStrike">
                <a:solidFill>
                  <a:schemeClr val="bg1"/>
                </a:solidFill>
                <a:latin typeface="Calibri"/>
                <a:ea typeface="Calibri"/>
                <a:cs typeface="Calibri"/>
              </a:rPr>
              <a:pPr algn="ctr" rtl="1"/>
              <a:t>1313</a:t>
            </a:fld>
            <a:endParaRPr lang="en-US" sz="1800" b="0" i="0" u="none" strike="noStrike">
              <a:solidFill>
                <a:schemeClr val="bg1"/>
              </a:solidFill>
              <a:latin typeface="Calibri"/>
              <a:ea typeface="Calibri"/>
              <a:cs typeface="Calibri"/>
            </a:endParaRPr>
          </a:p>
        </xdr:txBody>
      </xdr:sp>
    </xdr:grpSp>
    <xdr:clientData/>
  </xdr:twoCellAnchor>
  <xdr:twoCellAnchor>
    <xdr:from>
      <xdr:col>1</xdr:col>
      <xdr:colOff>228063</xdr:colOff>
      <xdr:row>11</xdr:row>
      <xdr:rowOff>122548</xdr:rowOff>
    </xdr:from>
    <xdr:to>
      <xdr:col>8</xdr:col>
      <xdr:colOff>401493</xdr:colOff>
      <xdr:row>24</xdr:row>
      <xdr:rowOff>26831</xdr:rowOff>
    </xdr:to>
    <xdr:graphicFrame macro="">
      <xdr:nvGraphicFramePr>
        <xdr:cNvPr id="34" name="Chart 33">
          <a:extLst>
            <a:ext uri="{FF2B5EF4-FFF2-40B4-BE49-F238E27FC236}">
              <a16:creationId xmlns:a16="http://schemas.microsoft.com/office/drawing/2014/main" id="{4A782DF3-A838-4FB9-9080-6FACDC5A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174402</xdr:colOff>
      <xdr:row>24</xdr:row>
      <xdr:rowOff>147570</xdr:rowOff>
    </xdr:from>
    <xdr:to>
      <xdr:col>13</xdr:col>
      <xdr:colOff>80493</xdr:colOff>
      <xdr:row>38</xdr:row>
      <xdr:rowOff>26831</xdr:rowOff>
    </xdr:to>
    <xdr:graphicFrame macro="">
      <xdr:nvGraphicFramePr>
        <xdr:cNvPr id="35" name="Chart 34">
          <a:extLst>
            <a:ext uri="{FF2B5EF4-FFF2-40B4-BE49-F238E27FC236}">
              <a16:creationId xmlns:a16="http://schemas.microsoft.com/office/drawing/2014/main" id="{F666F03C-B34C-4DD8-810A-57999E289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465131</xdr:colOff>
      <xdr:row>11</xdr:row>
      <xdr:rowOff>158781</xdr:rowOff>
    </xdr:from>
    <xdr:to>
      <xdr:col>25</xdr:col>
      <xdr:colOff>239824</xdr:colOff>
      <xdr:row>24</xdr:row>
      <xdr:rowOff>80494</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7DEC24B5-6908-4470-990D-CB99D71044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52031" y="2254281"/>
              <a:ext cx="5261093" cy="2398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214648</xdr:colOff>
      <xdr:row>25</xdr:row>
      <xdr:rowOff>13414</xdr:rowOff>
    </xdr:from>
    <xdr:to>
      <xdr:col>25</xdr:col>
      <xdr:colOff>281726</xdr:colOff>
      <xdr:row>38</xdr:row>
      <xdr:rowOff>13416</xdr:rowOff>
    </xdr:to>
    <xdr:graphicFrame macro="">
      <xdr:nvGraphicFramePr>
        <xdr:cNvPr id="37" name="Chart 36">
          <a:extLst>
            <a:ext uri="{FF2B5EF4-FFF2-40B4-BE49-F238E27FC236}">
              <a16:creationId xmlns:a16="http://schemas.microsoft.com/office/drawing/2014/main" id="{676F3981-AC42-4A08-A723-9BDD33E5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496372</xdr:colOff>
      <xdr:row>11</xdr:row>
      <xdr:rowOff>120740</xdr:rowOff>
    </xdr:from>
    <xdr:to>
      <xdr:col>16</xdr:col>
      <xdr:colOff>402463</xdr:colOff>
      <xdr:row>24</xdr:row>
      <xdr:rowOff>93908</xdr:rowOff>
    </xdr:to>
    <xdr:graphicFrame macro="">
      <xdr:nvGraphicFramePr>
        <xdr:cNvPr id="38" name="Chart 37">
          <a:extLst>
            <a:ext uri="{FF2B5EF4-FFF2-40B4-BE49-F238E27FC236}">
              <a16:creationId xmlns:a16="http://schemas.microsoft.com/office/drawing/2014/main" id="{9064D3E8-B616-4BAE-8803-BD8BC9D06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402465</xdr:colOff>
      <xdr:row>0</xdr:row>
      <xdr:rowOff>134156</xdr:rowOff>
    </xdr:from>
    <xdr:to>
      <xdr:col>25</xdr:col>
      <xdr:colOff>335387</xdr:colOff>
      <xdr:row>11</xdr:row>
      <xdr:rowOff>0</xdr:rowOff>
    </xdr:to>
    <mc:AlternateContent xmlns:mc="http://schemas.openxmlformats.org/markup-compatibility/2006" xmlns:a14="http://schemas.microsoft.com/office/drawing/2010/main">
      <mc:Choice Requires="a14">
        <xdr:graphicFrame macro="">
          <xdr:nvGraphicFramePr>
            <xdr:cNvPr id="39" name="Day Name">
              <a:extLst>
                <a:ext uri="{FF2B5EF4-FFF2-40B4-BE49-F238E27FC236}">
                  <a16:creationId xmlns:a16="http://schemas.microsoft.com/office/drawing/2014/main" id="{33663870-2BCD-44DB-91C5-7CD2B03CAA99}"/>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1617817" y="134156"/>
              <a:ext cx="3555105" cy="1931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160985</xdr:colOff>
      <xdr:row>0</xdr:row>
      <xdr:rowOff>40247</xdr:rowOff>
    </xdr:from>
    <xdr:to>
      <xdr:col>11</xdr:col>
      <xdr:colOff>496372</xdr:colOff>
      <xdr:row>5</xdr:row>
      <xdr:rowOff>40247</xdr:rowOff>
    </xdr:to>
    <xdr:pic>
      <xdr:nvPicPr>
        <xdr:cNvPr id="41" name="Picture 40">
          <a:extLst>
            <a:ext uri="{FF2B5EF4-FFF2-40B4-BE49-F238E27FC236}">
              <a16:creationId xmlns:a16="http://schemas.microsoft.com/office/drawing/2014/main" id="{08FDD5A1-FDCE-40EA-84A1-26ACABE5B6C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43062" y="40247"/>
          <a:ext cx="939085" cy="9390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2245371" createdVersion="5" refreshedVersion="7" minRefreshableVersion="3" recordCount="0" supportSubquery="1" supportAdvancedDrill="1" xr:uid="{44FC519A-A4FE-4640-8F45-0B279633A967}">
  <cacheSource type="external" connectionId="2"/>
  <cacheFields count="2">
    <cacheField name="[Measures].[Orders]" caption="Orders" numFmtId="0" hierarchy="9" level="32767"/>
    <cacheField name="[Orders].[Day Name].[Day Name]" caption="Day Name" numFmtId="0" hierarchy="5" level="1">
      <sharedItems count="7">
        <s v="Friday"/>
        <s v="Monday"/>
        <s v="Saturday"/>
        <s v="Sunday"/>
        <s v="Thursday"/>
        <s v="Tuesday"/>
        <s v="Wednesday"/>
      </sharedItems>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2824072" createdVersion="5" refreshedVersion="7" minRefreshableVersion="3" recordCount="0" supportSubquery="1" supportAdvancedDrill="1" xr:uid="{421AD025-8B76-4173-B227-8281A713540C}">
  <cacheSource type="external" connectionId="2"/>
  <cacheFields count="2">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3171295" createdVersion="5" refreshedVersion="7" minRefreshableVersion="3" recordCount="0" supportSubquery="1" supportAdvancedDrill="1" xr:uid="{2231A51D-D382-49C4-9460-E8E49C638146}">
  <cacheSource type="external" connectionId="2"/>
  <cacheFields count="2">
    <cacheField name="[Measures].[Sales]" caption="Sales" numFmtId="0" hierarchy="11"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3518518" createdVersion="5" refreshedVersion="7" minRefreshableVersion="3" recordCount="0" supportSubquery="1" supportAdvancedDrill="1" xr:uid="{44BD542A-EB66-48DC-9B14-20B14E7D9958}">
  <cacheSource type="external" connectionId="2"/>
  <cacheFields count="2">
    <cacheField name="[Measures].[Items]" caption="Items" numFmtId="0" hierarchy="10"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4097219" createdVersion="5" refreshedVersion="7" minRefreshableVersion="3" recordCount="0" supportSubquery="1" supportAdvancedDrill="1" xr:uid="{8362E1FB-C04B-4C4C-9375-5DAB339B0B1B}">
  <cacheSource type="external" connectionId="2"/>
  <cacheFields count="3">
    <cacheField name="[Measures].[Orders]" caption="Orders" numFmtId="0" hierarchy="9" level="32767"/>
    <cacheField name="[Orders].[coffee_name].[coffee_name]" caption="coffee_name" numFmtId="0" hierarchy="4" level="1">
      <sharedItems count="8">
        <s v="Americano"/>
        <s v="Americano With Milk"/>
        <s v="Cappuccino"/>
        <s v="Cocoa"/>
        <s v="Cortado"/>
        <s v="Espresso"/>
        <s v="Hot Chocolate"/>
        <s v="Latte"/>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4560188" createdVersion="5" refreshedVersion="7" minRefreshableVersion="3" recordCount="0" supportSubquery="1" supportAdvancedDrill="1" xr:uid="{29B046CC-2D1E-49C4-B946-3EFF2C6837FD}">
  <cacheSource type="external" connectionId="2"/>
  <cacheFields count="3">
    <cacheField name="[Measures].[Orders]" caption="Orders" numFmtId="0" hierarchy="9" level="32767"/>
    <cacheField name="[Orders].[date (Month)].[date (Month)]" caption="date (Month)" numFmtId="0" hierarchy="7" level="1">
      <sharedItems count="6">
        <s v="Mar"/>
        <s v="Apr"/>
        <s v="May"/>
        <s v="Jun"/>
        <s v="Jul"/>
        <s v="Aug"/>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5138889" createdVersion="5" refreshedVersion="7" minRefreshableVersion="3" recordCount="0" supportSubquery="1" supportAdvancedDrill="1" xr:uid="{6D697C3D-012A-4B3C-AE4F-3D7A665D2253}">
  <cacheSource type="external" connectionId="2"/>
  <cacheFields count="3">
    <cacheField name="[Measures].[Orders]" caption="Orders" numFmtId="0" hierarchy="9" level="32767"/>
    <cacheField name="[Orders].[Shift].[Shift]" caption="Shift" numFmtId="0" hierarchy="6" level="1">
      <sharedItems count="3">
        <s v="Afternoon"/>
        <s v="Evening"/>
        <s v="Morning"/>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fieldsUsage count="2">
        <fieldUsage x="-1"/>
        <fieldUsage x="1"/>
      </fieldsUsage>
    </cacheHierarchy>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9345717589" createdVersion="5" refreshedVersion="7" minRefreshableVersion="3" recordCount="0" supportSubquery="1" supportAdvancedDrill="1" xr:uid="{3D68FF71-2035-4C1D-8047-93543C3B6DC5}">
  <cacheSource type="external" connectionId="2"/>
  <cacheFields count="3">
    <cacheField name="[Measures].[Orders]" caption="Orders" numFmtId="0" hierarchy="9" level="32767"/>
    <cacheField name="[Orders].[cash_type].[cash_type]" caption="cash_type" numFmtId="0" hierarchy="2" level="1">
      <sharedItems count="2">
        <s v="Card"/>
        <s v="Cash"/>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1"/>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0.142999421296" createdVersion="3" refreshedVersion="7" minRefreshableVersion="3" recordCount="0" supportSubquery="1" supportAdvancedDrill="1" xr:uid="{917A720C-3C6B-4CF4-AF24-34D6B9EDAAB1}">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59232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F1CC2-F59D-4B95-9D4E-4EBAFFA28958}" name="PivotTable6" cacheId="5" applyNumberFormats="0" applyBorderFormats="0" applyFontFormats="0" applyPatternFormats="0" applyAlignmentFormats="0" applyWidthHeightFormats="1" dataCaption="Values" tag="e23566b7-2cec-4c01-af53-53765f97b3a7" updatedVersion="7" minRefreshableVersion="3" useAutoFormatting="1" itemPrintTitles="1" createdVersion="5" indent="0" outline="1" outlineData="1" multipleFieldFilters="0" chartFormat="3">
  <location ref="G2:H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DF51C-3A28-475A-877D-DAAD8C9B530C}" name="PivotTable5" cacheId="4" applyNumberFormats="0" applyBorderFormats="0" applyFontFormats="0" applyPatternFormats="0" applyAlignmentFormats="0" applyWidthHeightFormats="1" dataCaption="Values" tag="1947a76e-4560-41da-934d-23a395f06017" updatedVersion="7" minRefreshableVersion="3" useAutoFormatting="1" itemPrintTitles="1" createdVersion="5" indent="0" outline="1" outlineData="1" multipleFieldFilters="0" chartFormat="3">
  <location ref="D2:E11"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3"/>
    </i>
    <i>
      <x v="5"/>
    </i>
    <i>
      <x v="6"/>
    </i>
    <i>
      <x v="4"/>
    </i>
    <i>
      <x/>
    </i>
    <i>
      <x v="2"/>
    </i>
    <i>
      <x v="7"/>
    </i>
    <i>
      <x v="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A1E8D6-5D06-453E-858B-06774D25E13F}" name="PivotTable4" cacheId="3" applyNumberFormats="0" applyBorderFormats="0" applyFontFormats="0" applyPatternFormats="0" applyAlignmentFormats="0" applyWidthHeightFormats="1" dataCaption="Values" tag="4ec01631-d594-45cf-9188-36228b38efae" updatedVersion="7" minRefreshableVersion="3" useAutoFormatting="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24CAB-F152-4C0A-8B72-FE30FB9EACE1}" name="PivotTable9" cacheId="7" applyNumberFormats="0" applyBorderFormats="0" applyFontFormats="0" applyPatternFormats="0" applyAlignmentFormats="0" applyWidthHeightFormats="1" dataCaption="Values" tag="96e1e496-e891-40d5-90dd-2078e8c588e3" updatedVersion="7" minRefreshableVersion="3" useAutoFormatting="1" itemPrintTitles="1" createdVersion="5" indent="0" outline="1" outlineData="1" multipleFieldFilters="0" chartFormat="3">
  <location ref="M10:N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9FD8A2-7B63-4DEF-99CE-DF02A81FE5B8}" name="PivotTable8" cacheId="6" applyNumberFormats="0" applyBorderFormats="0" applyFontFormats="0" applyPatternFormats="0" applyAlignmentFormats="0" applyWidthHeightFormats="1" dataCaption="Values" tag="1dde5eaf-8bb8-4be5-a52e-b8714c5196c5" updatedVersion="7" minRefreshableVersion="3" useAutoFormatting="1" itemPrintTitles="1" createdVersion="5" indent="0" outline="1" outlineData="1" multipleFieldFilters="0" chartFormat="3">
  <location ref="M2:N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91CA8C-56D2-4E43-9F3A-CD3E33AFDD3C}" name="PivotTable3" cacheId="2" applyNumberFormats="0" applyBorderFormats="0" applyFontFormats="0" applyPatternFormats="0" applyAlignmentFormats="0" applyWidthHeightFormats="1" dataCaption="Values" tag="39e9d87b-7ea7-4d2a-8c85-65da62414705" updatedVersion="7" minRefreshableVersion="3" useAutoFormatting="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4B8AF-4CBF-4335-881E-DD9E14F6A2E5}" name="PivotTable7" cacheId="0" applyNumberFormats="0" applyBorderFormats="0" applyFontFormats="0" applyPatternFormats="0" applyAlignmentFormats="0" applyWidthHeightFormats="1" dataCaption="Values" tag="b592a8b2-beac-448d-830a-86f49dfe431d" updatedVersion="7" minRefreshableVersion="3" useAutoFormatting="1" itemPrintTitles="1" createdVersion="5" indent="0" outline="1" outlineData="1" multipleFieldFilters="0">
  <location ref="J2:K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C53DA2-596A-47BC-BACA-401674DEABD1}" name="PivotTable2" cacheId="1" applyNumberFormats="0" applyBorderFormats="0" applyFontFormats="0" applyPatternFormats="0" applyAlignmentFormats="0" applyWidthHeightFormats="1" dataCaption="Values" tag="9df4cf72-81a1-418b-b0a1-5a2955a8e503" updatedVersion="7"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55C3413-29A3-4E35-8BB7-863A9F12A28E}" sourceName="[Orders].[Day Name]">
  <pivotTables>
    <pivotTable tabId="1" name="PivotTable7"/>
    <pivotTable tabId="1" name="PivotTable2"/>
    <pivotTable tabId="1" name="PivotTable3"/>
    <pivotTable tabId="1" name="PivotTable4"/>
    <pivotTable tabId="1" name="PivotTable5"/>
    <pivotTable tabId="1" name="PivotTable6"/>
    <pivotTable tabId="1" name="PivotTable8"/>
    <pivotTable tabId="1" name="PivotTable9"/>
  </pivotTables>
  <data>
    <olap pivotCacheId="225923275">
      <levels count="2">
        <level uniqueName="[Orders].[Day Name].[(All)]" sourceCaption="(All)" count="0"/>
        <level uniqueName="[Orders].[Day Name].[Day Name]" sourceCaption="Day Name" count="7" sortOrder="ascending">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5DFD58E1-C804-4E7A-878A-D20E9B8009DD}" cache="Slicer_Day_Name" caption="Day Name" columnCount="2"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66E2-987E-4395-B421-5077A7B1B9C1}">
  <dimension ref="A1:N19"/>
  <sheetViews>
    <sheetView showGridLines="0" workbookViewId="0">
      <selection activeCell="J3" sqref="J3:J9"/>
    </sheetView>
  </sheetViews>
  <sheetFormatPr defaultRowHeight="15" x14ac:dyDescent="0.25"/>
  <cols>
    <col min="1" max="1" width="6" bestFit="1" customWidth="1"/>
    <col min="3" max="3" width="7.5703125" customWidth="1"/>
    <col min="4" max="4" width="19.85546875" bestFit="1" customWidth="1"/>
    <col min="5" max="5" width="7" bestFit="1" customWidth="1"/>
    <col min="7" max="7" width="13.140625" bestFit="1" customWidth="1"/>
    <col min="8" max="8" width="7" bestFit="1" customWidth="1"/>
    <col min="9" max="9" width="6.5703125" customWidth="1"/>
    <col min="10" max="10" width="13.140625" bestFit="1" customWidth="1"/>
    <col min="11" max="11" width="7" bestFit="1" customWidth="1"/>
    <col min="12" max="12" width="18.140625" customWidth="1"/>
    <col min="13" max="13" width="13.140625" bestFit="1" customWidth="1"/>
    <col min="14" max="14" width="7.140625" bestFit="1" customWidth="1"/>
    <col min="15" max="16" width="8.7109375" bestFit="1" customWidth="1"/>
    <col min="17" max="38" width="9.7109375" bestFit="1" customWidth="1"/>
    <col min="39" max="47" width="8.7109375" bestFit="1" customWidth="1"/>
    <col min="48" max="68" width="9.7109375" bestFit="1" customWidth="1"/>
    <col min="69" max="74" width="8.7109375" bestFit="1" customWidth="1"/>
    <col min="75" max="96" width="9.7109375" bestFit="1" customWidth="1"/>
    <col min="97" max="105" width="8.7109375" bestFit="1" customWidth="1"/>
    <col min="106" max="126" width="9.7109375" bestFit="1" customWidth="1"/>
    <col min="127" max="135" width="8.7109375" bestFit="1" customWidth="1"/>
    <col min="136" max="157" width="9.7109375" bestFit="1" customWidth="1"/>
    <col min="158" max="166" width="8.7109375" bestFit="1" customWidth="1"/>
    <col min="167" max="174" width="9.7109375" bestFit="1" customWidth="1"/>
    <col min="175" max="175" width="11.28515625" bestFit="1" customWidth="1"/>
  </cols>
  <sheetData>
    <row r="1" spans="1:14" x14ac:dyDescent="0.25">
      <c r="A1" t="s">
        <v>0</v>
      </c>
      <c r="D1" t="s">
        <v>6</v>
      </c>
      <c r="G1" t="s">
        <v>17</v>
      </c>
      <c r="J1" t="s">
        <v>24</v>
      </c>
      <c r="M1" t="s">
        <v>32</v>
      </c>
    </row>
    <row r="2" spans="1:14" x14ac:dyDescent="0.25">
      <c r="A2" t="s">
        <v>1</v>
      </c>
      <c r="D2" s="2" t="s">
        <v>7</v>
      </c>
      <c r="E2" t="s">
        <v>1</v>
      </c>
      <c r="G2" s="2" t="s">
        <v>7</v>
      </c>
      <c r="H2" t="s">
        <v>1</v>
      </c>
      <c r="J2" s="2" t="s">
        <v>7</v>
      </c>
      <c r="K2" t="s">
        <v>1</v>
      </c>
      <c r="M2" s="2" t="s">
        <v>7</v>
      </c>
      <c r="N2" t="s">
        <v>1</v>
      </c>
    </row>
    <row r="3" spans="1:14" x14ac:dyDescent="0.25">
      <c r="A3" s="1">
        <v>1313</v>
      </c>
      <c r="D3" s="5" t="s">
        <v>11</v>
      </c>
      <c r="E3" s="1">
        <v>44</v>
      </c>
      <c r="G3" s="5" t="s">
        <v>18</v>
      </c>
      <c r="H3" s="1">
        <v>206</v>
      </c>
      <c r="J3" s="5" t="s">
        <v>25</v>
      </c>
      <c r="K3" s="1">
        <v>181</v>
      </c>
      <c r="M3" s="5" t="s">
        <v>34</v>
      </c>
      <c r="N3" s="1">
        <v>383</v>
      </c>
    </row>
    <row r="4" spans="1:14" x14ac:dyDescent="0.25">
      <c r="D4" s="5" t="s">
        <v>13</v>
      </c>
      <c r="E4" s="1">
        <v>59</v>
      </c>
      <c r="G4" s="5" t="s">
        <v>19</v>
      </c>
      <c r="H4" s="1">
        <v>196</v>
      </c>
      <c r="J4" s="5" t="s">
        <v>26</v>
      </c>
      <c r="K4" s="1">
        <v>177</v>
      </c>
      <c r="M4" s="5" t="s">
        <v>33</v>
      </c>
      <c r="N4" s="1">
        <v>420</v>
      </c>
    </row>
    <row r="5" spans="1:14" x14ac:dyDescent="0.25">
      <c r="A5" t="s">
        <v>2</v>
      </c>
      <c r="D5" s="5" t="s">
        <v>14</v>
      </c>
      <c r="E5" s="1">
        <v>79</v>
      </c>
      <c r="G5" s="5" t="s">
        <v>20</v>
      </c>
      <c r="H5" s="1">
        <v>267</v>
      </c>
      <c r="J5" s="5" t="s">
        <v>27</v>
      </c>
      <c r="K5" s="1">
        <v>189</v>
      </c>
      <c r="M5" s="5" t="s">
        <v>35</v>
      </c>
      <c r="N5" s="1">
        <v>510</v>
      </c>
    </row>
    <row r="6" spans="1:14" x14ac:dyDescent="0.25">
      <c r="A6" t="s">
        <v>3</v>
      </c>
      <c r="D6" s="5" t="s">
        <v>12</v>
      </c>
      <c r="E6" s="1">
        <v>123</v>
      </c>
      <c r="G6" s="5" t="s">
        <v>21</v>
      </c>
      <c r="H6" s="1">
        <v>227</v>
      </c>
      <c r="J6" s="5" t="s">
        <v>28</v>
      </c>
      <c r="K6" s="1">
        <v>172</v>
      </c>
      <c r="M6" s="5" t="s">
        <v>16</v>
      </c>
      <c r="N6" s="1">
        <v>1313</v>
      </c>
    </row>
    <row r="7" spans="1:14" x14ac:dyDescent="0.25">
      <c r="A7" s="1">
        <v>42627.58</v>
      </c>
      <c r="D7" s="5" t="s">
        <v>8</v>
      </c>
      <c r="E7" s="1">
        <v>185</v>
      </c>
      <c r="G7" s="5" t="s">
        <v>22</v>
      </c>
      <c r="H7" s="1">
        <v>237</v>
      </c>
      <c r="J7" s="5" t="s">
        <v>29</v>
      </c>
      <c r="K7" s="1">
        <v>200</v>
      </c>
    </row>
    <row r="8" spans="1:14" x14ac:dyDescent="0.25">
      <c r="D8" s="5" t="s">
        <v>10</v>
      </c>
      <c r="E8" s="1">
        <v>222</v>
      </c>
      <c r="G8" s="5" t="s">
        <v>23</v>
      </c>
      <c r="H8" s="1">
        <v>180</v>
      </c>
      <c r="J8" s="5" t="s">
        <v>30</v>
      </c>
      <c r="K8" s="1">
        <v>206</v>
      </c>
    </row>
    <row r="9" spans="1:14" x14ac:dyDescent="0.25">
      <c r="D9" s="5" t="s">
        <v>15</v>
      </c>
      <c r="E9" s="1">
        <v>282</v>
      </c>
      <c r="G9" s="5" t="s">
        <v>16</v>
      </c>
      <c r="H9" s="1">
        <v>1313</v>
      </c>
      <c r="J9" s="5" t="s">
        <v>31</v>
      </c>
      <c r="K9" s="1">
        <v>188</v>
      </c>
      <c r="M9" s="3" t="s">
        <v>36</v>
      </c>
    </row>
    <row r="10" spans="1:14" x14ac:dyDescent="0.25">
      <c r="A10" t="s">
        <v>4</v>
      </c>
      <c r="D10" s="5" t="s">
        <v>9</v>
      </c>
      <c r="E10" s="1">
        <v>319</v>
      </c>
      <c r="J10" s="5" t="s">
        <v>16</v>
      </c>
      <c r="K10" s="1">
        <v>1313</v>
      </c>
      <c r="M10" s="2" t="s">
        <v>7</v>
      </c>
      <c r="N10" t="s">
        <v>1</v>
      </c>
    </row>
    <row r="11" spans="1:14" x14ac:dyDescent="0.25">
      <c r="A11" t="s">
        <v>5</v>
      </c>
      <c r="D11" s="5" t="s">
        <v>16</v>
      </c>
      <c r="E11" s="1">
        <v>1313</v>
      </c>
      <c r="M11" s="5" t="s">
        <v>37</v>
      </c>
      <c r="N11" s="4">
        <v>0.9322162985529322</v>
      </c>
    </row>
    <row r="12" spans="1:14" x14ac:dyDescent="0.25">
      <c r="A12" s="1">
        <v>8</v>
      </c>
      <c r="M12" s="5" t="s">
        <v>38</v>
      </c>
      <c r="N12" s="4">
        <v>6.7783701447067787E-2</v>
      </c>
    </row>
    <row r="13" spans="1:14" x14ac:dyDescent="0.25">
      <c r="J13" s="3" t="s">
        <v>25</v>
      </c>
      <c r="K13" s="1">
        <v>181</v>
      </c>
      <c r="M13" s="5" t="s">
        <v>16</v>
      </c>
      <c r="N13" s="4">
        <v>1</v>
      </c>
    </row>
    <row r="14" spans="1:14" x14ac:dyDescent="0.25">
      <c r="J14" s="3" t="s">
        <v>26</v>
      </c>
      <c r="K14" s="1">
        <v>177</v>
      </c>
    </row>
    <row r="15" spans="1:14" x14ac:dyDescent="0.25">
      <c r="J15" s="3" t="s">
        <v>27</v>
      </c>
      <c r="K15" s="1">
        <v>189</v>
      </c>
    </row>
    <row r="16" spans="1:14" x14ac:dyDescent="0.25">
      <c r="J16" s="3" t="s">
        <v>28</v>
      </c>
      <c r="K16" s="1">
        <v>172</v>
      </c>
    </row>
    <row r="17" spans="10:11" x14ac:dyDescent="0.25">
      <c r="J17" s="3" t="s">
        <v>29</v>
      </c>
      <c r="K17" s="1">
        <v>200</v>
      </c>
    </row>
    <row r="18" spans="10:11" x14ac:dyDescent="0.25">
      <c r="J18" s="3" t="s">
        <v>30</v>
      </c>
      <c r="K18" s="1">
        <v>206</v>
      </c>
    </row>
    <row r="19" spans="10:11" x14ac:dyDescent="0.25">
      <c r="J19" s="3" t="s">
        <v>31</v>
      </c>
      <c r="K19" s="1">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C72D-AB12-48EB-B62E-BB96DA30F4E8}">
  <dimension ref="A1:Z39"/>
  <sheetViews>
    <sheetView showGridLines="0" tabSelected="1" zoomScale="71" zoomScaleNormal="71" workbookViewId="0">
      <selection activeCell="AB21" sqref="AB21"/>
    </sheetView>
  </sheetViews>
  <sheetFormatPr defaultRowHeight="15" x14ac:dyDescent="0.25"/>
  <cols>
    <col min="1" max="1" width="5.140625" customWidth="1"/>
  </cols>
  <sheetData>
    <row r="1" spans="1:26" x14ac:dyDescent="0.25">
      <c r="B1" s="7"/>
      <c r="C1" s="7"/>
      <c r="D1" s="7"/>
      <c r="E1" s="7"/>
      <c r="F1" s="7"/>
      <c r="G1" s="7"/>
      <c r="H1" s="7"/>
      <c r="I1" s="7"/>
      <c r="J1" s="7"/>
      <c r="K1" s="7"/>
      <c r="L1" s="7"/>
      <c r="M1" s="7"/>
      <c r="N1" s="7"/>
      <c r="O1" s="7"/>
      <c r="P1" s="7"/>
      <c r="Q1" s="7"/>
      <c r="R1" s="7"/>
      <c r="S1" s="7"/>
      <c r="T1" s="7"/>
      <c r="U1" s="7"/>
      <c r="V1" s="7"/>
      <c r="W1" s="7"/>
      <c r="X1" s="7"/>
      <c r="Y1" s="7"/>
      <c r="Z1" s="7"/>
    </row>
    <row r="2" spans="1:26" x14ac:dyDescent="0.25">
      <c r="B2" s="7"/>
      <c r="C2" s="7"/>
      <c r="D2" s="7"/>
      <c r="E2" s="7"/>
      <c r="F2" s="7"/>
      <c r="G2" s="7"/>
      <c r="H2" s="7"/>
      <c r="I2" s="7"/>
      <c r="J2" s="7"/>
      <c r="K2" s="7"/>
      <c r="L2" s="7"/>
      <c r="M2" s="7"/>
      <c r="N2" s="7"/>
      <c r="O2" s="7"/>
      <c r="P2" s="7"/>
      <c r="Q2" s="7"/>
      <c r="R2" s="7"/>
      <c r="S2" s="7"/>
      <c r="T2" s="7"/>
      <c r="U2" s="7"/>
      <c r="V2" s="7"/>
      <c r="W2" s="7"/>
      <c r="X2" s="7"/>
      <c r="Y2" s="7"/>
      <c r="Z2" s="7"/>
    </row>
    <row r="3" spans="1:26" x14ac:dyDescent="0.25">
      <c r="A3" s="6"/>
      <c r="B3" s="7"/>
      <c r="C3" s="7"/>
      <c r="D3" s="7"/>
      <c r="E3" s="7"/>
      <c r="F3" s="7"/>
      <c r="G3" s="7"/>
      <c r="H3" s="7"/>
      <c r="I3" s="7"/>
      <c r="J3" s="7"/>
      <c r="K3" s="7"/>
      <c r="L3" s="7"/>
      <c r="M3" s="7"/>
      <c r="N3" s="7"/>
      <c r="O3" s="7"/>
      <c r="P3" s="7"/>
      <c r="Q3" s="7"/>
      <c r="R3" s="7"/>
      <c r="S3" s="7"/>
      <c r="T3" s="7"/>
      <c r="U3" s="7"/>
      <c r="V3" s="7"/>
      <c r="W3" s="7"/>
      <c r="X3" s="7"/>
      <c r="Y3" s="7"/>
      <c r="Z3" s="7"/>
    </row>
    <row r="4" spans="1:26" x14ac:dyDescent="0.25">
      <c r="B4" s="7"/>
      <c r="C4" s="7"/>
      <c r="D4" s="7"/>
      <c r="E4" s="7"/>
      <c r="F4" s="7"/>
      <c r="G4" s="7"/>
      <c r="H4" s="7"/>
      <c r="I4" s="7"/>
      <c r="J4" s="7"/>
      <c r="K4" s="7"/>
      <c r="L4" s="7"/>
      <c r="M4" s="7"/>
      <c r="N4" s="7"/>
      <c r="O4" s="7"/>
      <c r="P4" s="7"/>
      <c r="Q4" s="7"/>
      <c r="R4" s="7"/>
      <c r="S4" s="7"/>
      <c r="T4" s="7"/>
      <c r="U4" s="7"/>
      <c r="V4" s="7"/>
      <c r="W4" s="7"/>
      <c r="X4" s="7"/>
      <c r="Y4" s="7"/>
      <c r="Z4" s="7"/>
    </row>
    <row r="5" spans="1:26" x14ac:dyDescent="0.25">
      <c r="B5" s="7"/>
      <c r="C5" s="7"/>
      <c r="D5" s="7"/>
      <c r="E5" s="7"/>
      <c r="F5" s="7"/>
      <c r="G5" s="7"/>
      <c r="H5" s="7"/>
      <c r="I5" s="7"/>
      <c r="J5" s="7"/>
      <c r="K5" s="7"/>
      <c r="L5" s="7"/>
      <c r="M5" s="7"/>
      <c r="N5" s="7"/>
      <c r="O5" s="7"/>
      <c r="P5" s="7"/>
      <c r="Q5" s="7"/>
      <c r="R5" s="7"/>
      <c r="S5" s="7"/>
      <c r="T5" s="7"/>
      <c r="U5" s="7"/>
      <c r="V5" s="7"/>
      <c r="W5" s="7"/>
      <c r="X5" s="7"/>
      <c r="Y5" s="7"/>
      <c r="Z5" s="7"/>
    </row>
    <row r="6" spans="1:26" x14ac:dyDescent="0.25">
      <c r="B6" s="7"/>
      <c r="C6" s="7"/>
      <c r="D6" s="7"/>
      <c r="E6" s="7"/>
      <c r="F6" s="7"/>
      <c r="G6" s="7"/>
      <c r="H6" s="7"/>
      <c r="I6" s="7"/>
      <c r="J6" s="7"/>
      <c r="K6" s="7"/>
      <c r="L6" s="7"/>
      <c r="M6" s="7"/>
      <c r="N6" s="7"/>
      <c r="O6" s="7"/>
      <c r="P6" s="7"/>
      <c r="Q6" s="7"/>
      <c r="R6" s="7"/>
      <c r="S6" s="7"/>
      <c r="T6" s="7"/>
      <c r="U6" s="7"/>
      <c r="V6" s="7"/>
      <c r="W6" s="7"/>
      <c r="X6" s="7"/>
      <c r="Y6" s="7"/>
      <c r="Z6" s="7"/>
    </row>
    <row r="7" spans="1:26" x14ac:dyDescent="0.25">
      <c r="B7" s="7"/>
      <c r="C7" s="7"/>
      <c r="D7" s="7"/>
      <c r="E7" s="7"/>
      <c r="F7" s="7"/>
      <c r="G7" s="7"/>
      <c r="H7" s="7"/>
      <c r="I7" s="7"/>
      <c r="J7" s="7"/>
      <c r="K7" s="7"/>
      <c r="L7" s="7"/>
      <c r="M7" s="7"/>
      <c r="N7" s="7"/>
      <c r="O7" s="7"/>
      <c r="P7" s="7"/>
      <c r="Q7" s="7"/>
      <c r="R7" s="7"/>
      <c r="S7" s="7"/>
      <c r="T7" s="7"/>
      <c r="U7" s="7"/>
      <c r="V7" s="7"/>
      <c r="W7" s="7"/>
      <c r="X7" s="7"/>
      <c r="Y7" s="7"/>
      <c r="Z7" s="7"/>
    </row>
    <row r="8" spans="1:26" x14ac:dyDescent="0.25">
      <c r="B8" s="7"/>
      <c r="C8" s="7"/>
      <c r="D8" s="7"/>
      <c r="E8" s="7"/>
      <c r="F8" s="7"/>
      <c r="G8" s="7"/>
      <c r="H8" s="7"/>
      <c r="I8" s="7"/>
      <c r="J8" s="7"/>
      <c r="K8" s="7"/>
      <c r="L8" s="7"/>
      <c r="M8" s="7"/>
      <c r="N8" s="7"/>
      <c r="O8" s="7"/>
      <c r="P8" s="7"/>
      <c r="Q8" s="7"/>
      <c r="R8" s="7"/>
      <c r="S8" s="7"/>
      <c r="T8" s="7"/>
      <c r="U8" s="7"/>
      <c r="V8" s="7"/>
      <c r="W8" s="7"/>
      <c r="X8" s="7"/>
      <c r="Y8" s="7"/>
      <c r="Z8" s="7"/>
    </row>
    <row r="9" spans="1:26" x14ac:dyDescent="0.25">
      <c r="B9" s="7"/>
      <c r="C9" s="7"/>
      <c r="D9" s="7"/>
      <c r="E9" s="7"/>
      <c r="F9" s="7"/>
      <c r="G9" s="7"/>
      <c r="H9" s="7"/>
      <c r="I9" s="7"/>
      <c r="J9" s="7"/>
      <c r="K9" s="7"/>
      <c r="L9" s="7"/>
      <c r="M9" s="7"/>
      <c r="N9" s="7"/>
      <c r="O9" s="7"/>
      <c r="P9" s="7"/>
      <c r="Q9" s="7"/>
      <c r="R9" s="7"/>
      <c r="S9" s="7"/>
      <c r="T9" s="7"/>
      <c r="U9" s="7"/>
      <c r="V9" s="7"/>
      <c r="W9" s="7"/>
      <c r="X9" s="7"/>
      <c r="Y9" s="7"/>
      <c r="Z9" s="7"/>
    </row>
    <row r="10" spans="1:26" x14ac:dyDescent="0.25">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B16" s="7"/>
      <c r="C16" s="7"/>
      <c r="D16" s="7"/>
      <c r="E16" s="7"/>
      <c r="F16" s="7"/>
      <c r="G16" s="7"/>
      <c r="H16" s="7"/>
      <c r="I16" s="7"/>
      <c r="J16" s="7"/>
      <c r="K16" s="7"/>
      <c r="L16" s="7"/>
      <c r="M16" s="7"/>
      <c r="N16" s="7"/>
      <c r="O16" s="7"/>
      <c r="P16" s="7"/>
      <c r="Q16" s="7"/>
      <c r="R16" s="7"/>
      <c r="S16" s="7"/>
      <c r="T16" s="7"/>
      <c r="U16" s="7"/>
      <c r="V16" s="7"/>
      <c r="W16" s="7"/>
      <c r="X16" s="7"/>
      <c r="Y16" s="7"/>
      <c r="Z16" s="7"/>
    </row>
    <row r="17" spans="2:26" x14ac:dyDescent="0.25">
      <c r="B17" s="7"/>
      <c r="C17" s="7"/>
      <c r="D17" s="7"/>
      <c r="E17" s="7"/>
      <c r="F17" s="7"/>
      <c r="G17" s="7"/>
      <c r="H17" s="7"/>
      <c r="I17" s="7"/>
      <c r="J17" s="7"/>
      <c r="K17" s="7"/>
      <c r="L17" s="7"/>
      <c r="M17" s="7"/>
      <c r="N17" s="7"/>
      <c r="O17" s="7"/>
      <c r="P17" s="7"/>
      <c r="Q17" s="7"/>
      <c r="R17" s="7"/>
      <c r="S17" s="7"/>
      <c r="T17" s="7"/>
      <c r="U17" s="7"/>
      <c r="V17" s="7"/>
      <c r="W17" s="7"/>
      <c r="X17" s="7"/>
      <c r="Y17" s="7"/>
      <c r="Z17" s="7"/>
    </row>
    <row r="18" spans="2:26" x14ac:dyDescent="0.25">
      <c r="B18" s="7"/>
      <c r="C18" s="7"/>
      <c r="D18" s="7"/>
      <c r="E18" s="7"/>
      <c r="F18" s="7"/>
      <c r="G18" s="7"/>
      <c r="H18" s="7"/>
      <c r="I18" s="7"/>
      <c r="J18" s="7"/>
      <c r="K18" s="7"/>
      <c r="L18" s="7"/>
      <c r="M18" s="7"/>
      <c r="N18" s="7"/>
      <c r="O18" s="7"/>
      <c r="P18" s="7"/>
      <c r="Q18" s="7"/>
      <c r="R18" s="7"/>
      <c r="S18" s="7"/>
      <c r="T18" s="7"/>
      <c r="U18" s="7"/>
      <c r="V18" s="7"/>
      <c r="W18" s="7"/>
      <c r="X18" s="7"/>
      <c r="Y18" s="7"/>
      <c r="Z18" s="7"/>
    </row>
    <row r="19" spans="2:26" x14ac:dyDescent="0.25">
      <c r="B19" s="7"/>
      <c r="C19" s="7"/>
      <c r="D19" s="7"/>
      <c r="E19" s="7"/>
      <c r="F19" s="7"/>
      <c r="G19" s="7"/>
      <c r="H19" s="7"/>
      <c r="I19" s="7"/>
      <c r="J19" s="7"/>
      <c r="K19" s="7"/>
      <c r="L19" s="7"/>
      <c r="M19" s="7"/>
      <c r="N19" s="7"/>
      <c r="O19" s="7"/>
      <c r="P19" s="7"/>
      <c r="Q19" s="7"/>
      <c r="R19" s="7"/>
      <c r="S19" s="7"/>
      <c r="T19" s="7"/>
      <c r="U19" s="7"/>
      <c r="V19" s="7"/>
      <c r="W19" s="7"/>
      <c r="X19" s="7"/>
      <c r="Y19" s="7"/>
      <c r="Z19" s="7"/>
    </row>
    <row r="20" spans="2:26" x14ac:dyDescent="0.25">
      <c r="B20" s="7"/>
      <c r="C20" s="7"/>
      <c r="D20" s="7"/>
      <c r="E20" s="7"/>
      <c r="F20" s="7"/>
      <c r="G20" s="7"/>
      <c r="H20" s="7"/>
      <c r="I20" s="7"/>
      <c r="J20" s="7"/>
      <c r="K20" s="7"/>
      <c r="L20" s="7"/>
      <c r="M20" s="7"/>
      <c r="N20" s="7"/>
      <c r="O20" s="7"/>
      <c r="P20" s="7"/>
      <c r="Q20" s="7"/>
      <c r="R20" s="7"/>
      <c r="S20" s="7"/>
      <c r="T20" s="7"/>
      <c r="U20" s="7"/>
      <c r="V20" s="7"/>
      <c r="W20" s="7"/>
      <c r="X20" s="7"/>
      <c r="Y20" s="7"/>
      <c r="Z20" s="7"/>
    </row>
    <row r="21" spans="2:26" x14ac:dyDescent="0.25">
      <c r="B21" s="7"/>
      <c r="C21" s="7"/>
      <c r="D21" s="7"/>
      <c r="E21" s="7"/>
      <c r="F21" s="7"/>
      <c r="G21" s="7"/>
      <c r="H21" s="7"/>
      <c r="I21" s="7"/>
      <c r="J21" s="7"/>
      <c r="K21" s="7"/>
      <c r="L21" s="7"/>
      <c r="M21" s="7"/>
      <c r="N21" s="7"/>
      <c r="O21" s="7"/>
      <c r="P21" s="7"/>
      <c r="Q21" s="7"/>
      <c r="R21" s="7"/>
      <c r="S21" s="7"/>
      <c r="T21" s="7"/>
      <c r="U21" s="7"/>
      <c r="V21" s="7"/>
      <c r="W21" s="7"/>
      <c r="X21" s="7"/>
      <c r="Y21" s="7"/>
      <c r="Z21" s="7"/>
    </row>
    <row r="22" spans="2:26" x14ac:dyDescent="0.25">
      <c r="B22" s="7"/>
      <c r="C22" s="7"/>
      <c r="D22" s="7"/>
      <c r="E22" s="7"/>
      <c r="F22" s="7"/>
      <c r="G22" s="7"/>
      <c r="H22" s="7"/>
      <c r="I22" s="7"/>
      <c r="J22" s="7"/>
      <c r="K22" s="7"/>
      <c r="L22" s="7"/>
      <c r="M22" s="7"/>
      <c r="N22" s="7"/>
      <c r="O22" s="7"/>
      <c r="P22" s="7"/>
      <c r="Q22" s="7"/>
      <c r="R22" s="7"/>
      <c r="S22" s="7"/>
      <c r="T22" s="7"/>
      <c r="U22" s="7"/>
      <c r="V22" s="7"/>
      <c r="W22" s="7"/>
      <c r="X22" s="7"/>
      <c r="Y22" s="7"/>
      <c r="Z22" s="7"/>
    </row>
    <row r="23" spans="2:26" x14ac:dyDescent="0.25">
      <c r="B23" s="7"/>
      <c r="C23" s="7"/>
      <c r="D23" s="7"/>
      <c r="E23" s="7"/>
      <c r="F23" s="7"/>
      <c r="G23" s="7"/>
      <c r="H23" s="7"/>
      <c r="I23" s="7"/>
      <c r="J23" s="7"/>
      <c r="K23" s="7"/>
      <c r="L23" s="7"/>
      <c r="M23" s="7"/>
      <c r="N23" s="7"/>
      <c r="O23" s="7"/>
      <c r="P23" s="7"/>
      <c r="Q23" s="7"/>
      <c r="R23" s="7"/>
      <c r="S23" s="7"/>
      <c r="T23" s="7"/>
      <c r="U23" s="7"/>
      <c r="V23" s="7"/>
      <c r="W23" s="7"/>
      <c r="X23" s="7"/>
      <c r="Y23" s="7"/>
      <c r="Z23" s="7"/>
    </row>
    <row r="24" spans="2:26" x14ac:dyDescent="0.25">
      <c r="B24" s="7"/>
      <c r="C24" s="7"/>
      <c r="D24" s="7"/>
      <c r="E24" s="7"/>
      <c r="F24" s="7"/>
      <c r="G24" s="7"/>
      <c r="H24" s="7"/>
      <c r="I24" s="7"/>
      <c r="J24" s="7"/>
      <c r="K24" s="7"/>
      <c r="L24" s="7"/>
      <c r="M24" s="7"/>
      <c r="N24" s="7"/>
      <c r="O24" s="7"/>
      <c r="P24" s="7"/>
      <c r="Q24" s="7"/>
      <c r="R24" s="7"/>
      <c r="S24" s="7"/>
      <c r="T24" s="7"/>
      <c r="U24" s="7"/>
      <c r="V24" s="7"/>
      <c r="W24" s="7"/>
      <c r="X24" s="7"/>
      <c r="Y24" s="7"/>
      <c r="Z24" s="7"/>
    </row>
    <row r="25" spans="2:26" x14ac:dyDescent="0.25">
      <c r="B25" s="7"/>
      <c r="C25" s="7"/>
      <c r="D25" s="7"/>
      <c r="E25" s="7"/>
      <c r="F25" s="7"/>
      <c r="G25" s="7"/>
      <c r="H25" s="7"/>
      <c r="I25" s="7"/>
      <c r="J25" s="7"/>
      <c r="K25" s="7"/>
      <c r="L25" s="7"/>
      <c r="M25" s="7"/>
      <c r="N25" s="7"/>
      <c r="O25" s="7"/>
      <c r="P25" s="7"/>
      <c r="Q25" s="7"/>
      <c r="R25" s="7"/>
      <c r="S25" s="7"/>
      <c r="T25" s="7"/>
      <c r="U25" s="7"/>
      <c r="V25" s="7"/>
      <c r="W25" s="7"/>
      <c r="X25" s="7"/>
      <c r="Y25" s="7"/>
      <c r="Z25" s="7"/>
    </row>
    <row r="26" spans="2:26" x14ac:dyDescent="0.25">
      <c r="B26" s="7"/>
      <c r="C26" s="7"/>
      <c r="D26" s="7"/>
      <c r="E26" s="7"/>
      <c r="F26" s="7"/>
      <c r="G26" s="7"/>
      <c r="H26" s="7"/>
      <c r="I26" s="7"/>
      <c r="J26" s="7"/>
      <c r="K26" s="7"/>
      <c r="L26" s="7"/>
      <c r="M26" s="7"/>
      <c r="N26" s="7"/>
      <c r="O26" s="7"/>
      <c r="P26" s="7"/>
      <c r="Q26" s="7"/>
      <c r="R26" s="7"/>
      <c r="S26" s="7"/>
      <c r="T26" s="7"/>
      <c r="U26" s="7"/>
      <c r="V26" s="7"/>
      <c r="W26" s="7"/>
      <c r="X26" s="7"/>
      <c r="Y26" s="7"/>
      <c r="Z26" s="7"/>
    </row>
    <row r="27" spans="2:26" x14ac:dyDescent="0.25">
      <c r="B27" s="7"/>
      <c r="C27" s="7"/>
      <c r="D27" s="7"/>
      <c r="E27" s="7"/>
      <c r="F27" s="7"/>
      <c r="G27" s="7"/>
      <c r="H27" s="7"/>
      <c r="I27" s="7"/>
      <c r="J27" s="7"/>
      <c r="K27" s="7"/>
      <c r="L27" s="7"/>
      <c r="M27" s="7"/>
      <c r="N27" s="7"/>
      <c r="O27" s="7"/>
      <c r="P27" s="7"/>
      <c r="Q27" s="7"/>
      <c r="R27" s="7"/>
      <c r="S27" s="7"/>
      <c r="T27" s="7"/>
      <c r="U27" s="7"/>
      <c r="V27" s="7"/>
      <c r="W27" s="7"/>
      <c r="X27" s="7"/>
      <c r="Y27" s="7"/>
      <c r="Z27" s="7"/>
    </row>
    <row r="28" spans="2:26" x14ac:dyDescent="0.25">
      <c r="B28" s="7"/>
      <c r="C28" s="7"/>
      <c r="D28" s="7"/>
      <c r="E28" s="7"/>
      <c r="F28" s="7"/>
      <c r="G28" s="7"/>
      <c r="H28" s="7"/>
      <c r="I28" s="7"/>
      <c r="J28" s="7"/>
      <c r="K28" s="7"/>
      <c r="L28" s="7"/>
      <c r="M28" s="7"/>
      <c r="N28" s="7"/>
      <c r="O28" s="7"/>
      <c r="P28" s="7"/>
      <c r="Q28" s="7"/>
      <c r="R28" s="7"/>
      <c r="S28" s="7"/>
      <c r="T28" s="7"/>
      <c r="U28" s="7"/>
      <c r="V28" s="7"/>
      <c r="W28" s="7"/>
      <c r="X28" s="7"/>
      <c r="Y28" s="7"/>
      <c r="Z28" s="7"/>
    </row>
    <row r="29" spans="2:26" x14ac:dyDescent="0.25">
      <c r="B29" s="7"/>
      <c r="C29" s="7"/>
      <c r="D29" s="7"/>
      <c r="E29" s="7"/>
      <c r="F29" s="7"/>
      <c r="G29" s="7"/>
      <c r="H29" s="7"/>
      <c r="I29" s="7"/>
      <c r="J29" s="7"/>
      <c r="K29" s="7"/>
      <c r="L29" s="7"/>
      <c r="M29" s="7"/>
      <c r="N29" s="7"/>
      <c r="O29" s="7"/>
      <c r="P29" s="7"/>
      <c r="Q29" s="7"/>
      <c r="R29" s="7"/>
      <c r="S29" s="7"/>
      <c r="T29" s="7"/>
      <c r="U29" s="7"/>
      <c r="V29" s="7"/>
      <c r="W29" s="7"/>
      <c r="X29" s="7"/>
      <c r="Y29" s="7"/>
      <c r="Z29" s="7"/>
    </row>
    <row r="30" spans="2:26" x14ac:dyDescent="0.25">
      <c r="B30" s="7"/>
      <c r="C30" s="7"/>
      <c r="D30" s="7"/>
      <c r="E30" s="7"/>
      <c r="F30" s="7"/>
      <c r="G30" s="7"/>
      <c r="H30" s="7"/>
      <c r="I30" s="7"/>
      <c r="J30" s="7"/>
      <c r="K30" s="7"/>
      <c r="L30" s="7"/>
      <c r="M30" s="7"/>
      <c r="N30" s="7"/>
      <c r="O30" s="7"/>
      <c r="P30" s="7"/>
      <c r="Q30" s="7"/>
      <c r="R30" s="7"/>
      <c r="S30" s="7"/>
      <c r="T30" s="7"/>
      <c r="U30" s="7"/>
      <c r="V30" s="7"/>
      <c r="W30" s="7"/>
      <c r="X30" s="7"/>
      <c r="Y30" s="7"/>
      <c r="Z30" s="7"/>
    </row>
    <row r="31" spans="2:26" x14ac:dyDescent="0.25">
      <c r="B31" s="7"/>
      <c r="C31" s="7"/>
      <c r="D31" s="7"/>
      <c r="E31" s="7"/>
      <c r="F31" s="7"/>
      <c r="G31" s="7"/>
      <c r="H31" s="7"/>
      <c r="I31" s="7"/>
      <c r="J31" s="7"/>
      <c r="K31" s="7"/>
      <c r="L31" s="7"/>
      <c r="M31" s="7"/>
      <c r="N31" s="7"/>
      <c r="O31" s="7"/>
      <c r="P31" s="7"/>
      <c r="Q31" s="7"/>
      <c r="R31" s="7"/>
      <c r="S31" s="7"/>
      <c r="T31" s="7"/>
      <c r="U31" s="7"/>
      <c r="V31" s="7"/>
      <c r="W31" s="7"/>
      <c r="X31" s="7"/>
      <c r="Y31" s="7"/>
      <c r="Z31" s="7"/>
    </row>
    <row r="32" spans="2:26" x14ac:dyDescent="0.25">
      <c r="B32" s="7"/>
      <c r="C32" s="7"/>
      <c r="D32" s="7"/>
      <c r="E32" s="7"/>
      <c r="F32" s="7"/>
      <c r="G32" s="7"/>
      <c r="H32" s="7"/>
      <c r="I32" s="7"/>
      <c r="J32" s="7"/>
      <c r="K32" s="7"/>
      <c r="L32" s="7"/>
      <c r="M32" s="7"/>
      <c r="N32" s="7"/>
      <c r="O32" s="7"/>
      <c r="P32" s="7"/>
      <c r="Q32" s="7"/>
      <c r="R32" s="7"/>
      <c r="S32" s="7"/>
      <c r="T32" s="7"/>
      <c r="U32" s="7"/>
      <c r="V32" s="7"/>
      <c r="W32" s="7"/>
      <c r="X32" s="7"/>
      <c r="Y32" s="7"/>
      <c r="Z32" s="7"/>
    </row>
    <row r="33" spans="2:26" x14ac:dyDescent="0.25">
      <c r="B33" s="7"/>
      <c r="C33" s="7"/>
      <c r="D33" s="7"/>
      <c r="E33" s="7"/>
      <c r="F33" s="7"/>
      <c r="G33" s="7"/>
      <c r="H33" s="7"/>
      <c r="I33" s="7"/>
      <c r="J33" s="7"/>
      <c r="K33" s="7"/>
      <c r="L33" s="7"/>
      <c r="M33" s="7"/>
      <c r="N33" s="7"/>
      <c r="O33" s="7"/>
      <c r="P33" s="7"/>
      <c r="Q33" s="7"/>
      <c r="R33" s="7"/>
      <c r="S33" s="7"/>
      <c r="T33" s="7"/>
      <c r="U33" s="7"/>
      <c r="V33" s="7"/>
      <c r="W33" s="7"/>
      <c r="X33" s="7"/>
      <c r="Y33" s="7"/>
      <c r="Z33" s="7"/>
    </row>
    <row r="34" spans="2:26" x14ac:dyDescent="0.25">
      <c r="B34" s="7"/>
      <c r="C34" s="7"/>
      <c r="D34" s="7"/>
      <c r="E34" s="7"/>
      <c r="F34" s="7"/>
      <c r="G34" s="7"/>
      <c r="H34" s="7"/>
      <c r="I34" s="7"/>
      <c r="J34" s="7"/>
      <c r="K34" s="7"/>
      <c r="L34" s="7"/>
      <c r="M34" s="7"/>
      <c r="N34" s="7"/>
      <c r="O34" s="7"/>
      <c r="P34" s="7"/>
      <c r="Q34" s="7"/>
      <c r="R34" s="7"/>
      <c r="S34" s="7"/>
      <c r="T34" s="7"/>
      <c r="U34" s="7"/>
      <c r="V34" s="7"/>
      <c r="W34" s="7"/>
      <c r="X34" s="7"/>
      <c r="Y34" s="7"/>
      <c r="Z34" s="7"/>
    </row>
    <row r="35" spans="2:26" x14ac:dyDescent="0.25">
      <c r="B35" s="7"/>
      <c r="C35" s="7"/>
      <c r="D35" s="7"/>
      <c r="E35" s="7"/>
      <c r="F35" s="7"/>
      <c r="G35" s="7"/>
      <c r="H35" s="7"/>
      <c r="I35" s="7"/>
      <c r="J35" s="7"/>
      <c r="K35" s="7"/>
      <c r="L35" s="7"/>
      <c r="M35" s="7"/>
      <c r="N35" s="7"/>
      <c r="O35" s="7"/>
      <c r="P35" s="7"/>
      <c r="Q35" s="7"/>
      <c r="R35" s="7"/>
      <c r="S35" s="7"/>
      <c r="T35" s="7"/>
      <c r="U35" s="7"/>
      <c r="V35" s="7"/>
      <c r="W35" s="7"/>
      <c r="X35" s="7"/>
      <c r="Y35" s="7"/>
      <c r="Z35" s="7"/>
    </row>
    <row r="36" spans="2:26" x14ac:dyDescent="0.25">
      <c r="B36" s="7"/>
      <c r="C36" s="7"/>
      <c r="D36" s="7"/>
      <c r="E36" s="7"/>
      <c r="F36" s="7"/>
      <c r="G36" s="7"/>
      <c r="H36" s="7"/>
      <c r="I36" s="7"/>
      <c r="J36" s="7"/>
      <c r="K36" s="7"/>
      <c r="L36" s="7"/>
      <c r="M36" s="7"/>
      <c r="N36" s="7"/>
      <c r="O36" s="7"/>
      <c r="P36" s="7"/>
      <c r="Q36" s="7"/>
      <c r="R36" s="7"/>
      <c r="S36" s="7"/>
      <c r="T36" s="7"/>
      <c r="U36" s="7"/>
      <c r="V36" s="7"/>
      <c r="W36" s="7"/>
      <c r="X36" s="7"/>
      <c r="Y36" s="7"/>
      <c r="Z36" s="7"/>
    </row>
    <row r="37" spans="2:26" x14ac:dyDescent="0.25">
      <c r="B37" s="7"/>
      <c r="C37" s="7"/>
      <c r="D37" s="7"/>
      <c r="E37" s="7"/>
      <c r="F37" s="7"/>
      <c r="G37" s="7"/>
      <c r="H37" s="7"/>
      <c r="I37" s="7"/>
      <c r="J37" s="7"/>
      <c r="K37" s="7"/>
      <c r="L37" s="7"/>
      <c r="M37" s="7"/>
      <c r="N37" s="7"/>
      <c r="O37" s="7"/>
      <c r="P37" s="7"/>
      <c r="Q37" s="7"/>
      <c r="R37" s="7"/>
      <c r="S37" s="7"/>
      <c r="T37" s="7"/>
      <c r="U37" s="7"/>
      <c r="V37" s="7"/>
      <c r="W37" s="7"/>
      <c r="X37" s="7"/>
      <c r="Y37" s="7"/>
      <c r="Z37" s="7"/>
    </row>
    <row r="38" spans="2:26" x14ac:dyDescent="0.25">
      <c r="B38" s="7"/>
      <c r="C38" s="7"/>
      <c r="D38" s="7"/>
      <c r="E38" s="7"/>
      <c r="F38" s="7"/>
      <c r="G38" s="7"/>
      <c r="H38" s="7"/>
      <c r="I38" s="7"/>
      <c r="J38" s="7"/>
      <c r="K38" s="7"/>
      <c r="L38" s="7"/>
      <c r="M38" s="7"/>
      <c r="N38" s="7"/>
      <c r="O38" s="7"/>
      <c r="P38" s="7"/>
      <c r="Q38" s="7"/>
      <c r="R38" s="7"/>
      <c r="S38" s="7"/>
      <c r="T38" s="7"/>
      <c r="U38" s="7"/>
      <c r="V38" s="7"/>
      <c r="W38" s="7"/>
      <c r="X38" s="7"/>
      <c r="Y38" s="7"/>
      <c r="Z38" s="7"/>
    </row>
    <row r="39" spans="2:26" x14ac:dyDescent="0.25">
      <c r="B39" s="7"/>
      <c r="C39" s="7"/>
      <c r="D39" s="7"/>
      <c r="E39" s="7"/>
      <c r="F39" s="7"/>
      <c r="G39" s="7"/>
      <c r="H39" s="7"/>
      <c r="I39" s="7"/>
      <c r="J39" s="7"/>
      <c r="K39" s="7"/>
      <c r="L39" s="7"/>
      <c r="M39" s="7"/>
      <c r="N39" s="7"/>
      <c r="O39" s="7"/>
      <c r="P39" s="7"/>
      <c r="Q39" s="7"/>
      <c r="R39" s="7"/>
      <c r="S39" s="7"/>
      <c r="T39" s="7"/>
      <c r="U39" s="7"/>
      <c r="V39" s="7"/>
      <c r="W39" s="7"/>
      <c r="X39" s="7"/>
      <c r="Y39" s="7"/>
      <c r="Z3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99AB080-6C1E-414E-BD26-967C63E4B3AA}">
  <ds:schemaRefs/>
</ds:datastoreItem>
</file>

<file path=customXml/itemProps2.xml><?xml version="1.0" encoding="utf-8"?>
<ds:datastoreItem xmlns:ds="http://schemas.openxmlformats.org/officeDocument/2006/customXml" ds:itemID="{045C2C85-FC08-41DB-814F-92881A3F5CF2}">
  <ds:schemaRefs>
    <ds:schemaRef ds:uri="http://schemas.microsoft.com/DataMashup"/>
  </ds:schemaRefs>
</ds:datastoreItem>
</file>

<file path=customXml/itemProps3.xml><?xml version="1.0" encoding="utf-8"?>
<ds:datastoreItem xmlns:ds="http://schemas.openxmlformats.org/officeDocument/2006/customXml" ds:itemID="{70B1B128-297C-4E5B-83B6-FAD7C2576B3D}">
  <ds:schemaRefs/>
</ds:datastoreItem>
</file>

<file path=customXml/itemProps4.xml><?xml version="1.0" encoding="utf-8"?>
<ds:datastoreItem xmlns:ds="http://schemas.openxmlformats.org/officeDocument/2006/customXml" ds:itemID="{6D3B1C8F-76B2-437C-84BE-43D90F6BA57E}">
  <ds:schemaRefs/>
</ds:datastoreItem>
</file>

<file path=customXml/itemProps5.xml><?xml version="1.0" encoding="utf-8"?>
<ds:datastoreItem xmlns:ds="http://schemas.openxmlformats.org/officeDocument/2006/customXml" ds:itemID="{B8F9D223-8A9C-4DFA-8D13-3B83165BA167}">
  <ds:schemaRefs/>
</ds:datastoreItem>
</file>

<file path=customXml/itemProps6.xml><?xml version="1.0" encoding="utf-8"?>
<ds:datastoreItem xmlns:ds="http://schemas.openxmlformats.org/officeDocument/2006/customXml" ds:itemID="{AC8F4830-B844-4F2B-A85C-C068C3526B80}">
  <ds:schemaRefs/>
</ds:datastoreItem>
</file>

<file path=customXml/itemProps7.xml><?xml version="1.0" encoding="utf-8"?>
<ds:datastoreItem xmlns:ds="http://schemas.openxmlformats.org/officeDocument/2006/customXml" ds:itemID="{A0EFB7B1-3662-40A9-A12B-3C9B96A9C6CD}">
  <ds:schemaRefs/>
</ds:datastoreItem>
</file>

<file path=customXml/itemProps8.xml><?xml version="1.0" encoding="utf-8"?>
<ds:datastoreItem xmlns:ds="http://schemas.openxmlformats.org/officeDocument/2006/customXml" ds:itemID="{B91FDA78-80A5-4181-920F-3E6DFCF954CC}">
  <ds:schemaRefs/>
</ds:datastoreItem>
</file>

<file path=customXml/itemProps9.xml><?xml version="1.0" encoding="utf-8"?>
<ds:datastoreItem xmlns:ds="http://schemas.openxmlformats.org/officeDocument/2006/customXml" ds:itemID="{293D10D7-1F8E-4276-9B5F-CD03AD1C8646}">
  <ds:schemaRefs/>
</ds:datastoreItem>
</file>

<file path=customXml/itemProps10.xml><?xml version="1.0" encoding="utf-8"?>
<ds:datastoreItem xmlns:ds="http://schemas.openxmlformats.org/officeDocument/2006/customXml" ds:itemID="{E167FC7B-EDDC-4457-B893-3F92B43D8EDD}">
  <ds:schemaRefs/>
</ds:datastoreItem>
</file>

<file path=customXml/itemProps11.xml><?xml version="1.0" encoding="utf-8"?>
<ds:datastoreItem xmlns:ds="http://schemas.openxmlformats.org/officeDocument/2006/customXml" ds:itemID="{7B4BD335-19CE-47C0-9B01-FE1E0F64698C}">
  <ds:schemaRefs/>
</ds:datastoreItem>
</file>

<file path=customXml/itemProps12.xml><?xml version="1.0" encoding="utf-8"?>
<ds:datastoreItem xmlns:ds="http://schemas.openxmlformats.org/officeDocument/2006/customXml" ds:itemID="{FFA7B711-F3FE-4C47-8190-214947AD59AB}">
  <ds:schemaRefs/>
</ds:datastoreItem>
</file>

<file path=customXml/itemProps13.xml><?xml version="1.0" encoding="utf-8"?>
<ds:datastoreItem xmlns:ds="http://schemas.openxmlformats.org/officeDocument/2006/customXml" ds:itemID="{E95E2852-4DD9-4A93-BFA5-CD223E0DA88A}">
  <ds:schemaRefs/>
</ds:datastoreItem>
</file>

<file path=customXml/itemProps14.xml><?xml version="1.0" encoding="utf-8"?>
<ds:datastoreItem xmlns:ds="http://schemas.openxmlformats.org/officeDocument/2006/customXml" ds:itemID="{68F4BAAF-43CB-44FE-8580-C502F00A52E1}">
  <ds:schemaRefs/>
</ds:datastoreItem>
</file>

<file path=customXml/itemProps15.xml><?xml version="1.0" encoding="utf-8"?>
<ds:datastoreItem xmlns:ds="http://schemas.openxmlformats.org/officeDocument/2006/customXml" ds:itemID="{01DB811F-855B-4A90-AD0B-01E2626E2EA3}">
  <ds:schemaRefs/>
</ds:datastoreItem>
</file>

<file path=customXml/itemProps16.xml><?xml version="1.0" encoding="utf-8"?>
<ds:datastoreItem xmlns:ds="http://schemas.openxmlformats.org/officeDocument/2006/customXml" ds:itemID="{AE01E519-2678-4C4F-AFD6-7AC5AD4BA79C}">
  <ds:schemaRefs/>
</ds:datastoreItem>
</file>

<file path=customXml/itemProps17.xml><?xml version="1.0" encoding="utf-8"?>
<ds:datastoreItem xmlns:ds="http://schemas.openxmlformats.org/officeDocument/2006/customXml" ds:itemID="{D1E30DE9-0F97-4016-8174-D7125549BA8B}">
  <ds:schemaRefs/>
</ds:datastoreItem>
</file>

<file path=customXml/itemProps18.xml><?xml version="1.0" encoding="utf-8"?>
<ds:datastoreItem xmlns:ds="http://schemas.openxmlformats.org/officeDocument/2006/customXml" ds:itemID="{43D7437F-5307-405B-9FC5-7E9FC6F4BB07}">
  <ds:schemaRefs/>
</ds:datastoreItem>
</file>

<file path=customXml/itemProps19.xml><?xml version="1.0" encoding="utf-8"?>
<ds:datastoreItem xmlns:ds="http://schemas.openxmlformats.org/officeDocument/2006/customXml" ds:itemID="{ECAAE3FE-92DD-4445-B07A-CA3C77719B28}">
  <ds:schemaRefs/>
</ds:datastoreItem>
</file>

<file path=customXml/itemProps20.xml><?xml version="1.0" encoding="utf-8"?>
<ds:datastoreItem xmlns:ds="http://schemas.openxmlformats.org/officeDocument/2006/customXml" ds:itemID="{E46E3450-90F5-4D63-9AF8-DEDF45B1C1DE}">
  <ds:schemaRefs/>
</ds:datastoreItem>
</file>

<file path=customXml/itemProps21.xml><?xml version="1.0" encoding="utf-8"?>
<ds:datastoreItem xmlns:ds="http://schemas.openxmlformats.org/officeDocument/2006/customXml" ds:itemID="{15164067-CFBD-4A06-9B86-E696917F8D8D}">
  <ds:schemaRefs/>
</ds:datastoreItem>
</file>

<file path=customXml/itemProps22.xml><?xml version="1.0" encoding="utf-8"?>
<ds:datastoreItem xmlns:ds="http://schemas.openxmlformats.org/officeDocument/2006/customXml" ds:itemID="{F2E1AB57-0AF3-4701-91DF-DD6F6E62DAF3}">
  <ds:schemaRefs/>
</ds:datastoreItem>
</file>

<file path=customXml/itemProps23.xml><?xml version="1.0" encoding="utf-8"?>
<ds:datastoreItem xmlns:ds="http://schemas.openxmlformats.org/officeDocument/2006/customXml" ds:itemID="{3B15E3A7-62B8-492A-A2D1-EB76D7D9CE88}">
  <ds:schemaRefs/>
</ds:datastoreItem>
</file>

<file path=customXml/itemProps24.xml><?xml version="1.0" encoding="utf-8"?>
<ds:datastoreItem xmlns:ds="http://schemas.openxmlformats.org/officeDocument/2006/customXml" ds:itemID="{8FF74DA3-DFD4-486B-80DC-D09269B6D694}">
  <ds:schemaRefs/>
</ds:datastoreItem>
</file>

<file path=customXml/itemProps25.xml><?xml version="1.0" encoding="utf-8"?>
<ds:datastoreItem xmlns:ds="http://schemas.openxmlformats.org/officeDocument/2006/customXml" ds:itemID="{537A2DF6-2915-4B8F-B596-EC1566E078B5}">
  <ds:schemaRefs/>
</ds:datastoreItem>
</file>

<file path=customXml/itemProps26.xml><?xml version="1.0" encoding="utf-8"?>
<ds:datastoreItem xmlns:ds="http://schemas.openxmlformats.org/officeDocument/2006/customXml" ds:itemID="{9F0A50C0-9ECC-4F2A-B819-EDE176DE89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منار العنزي</dc:creator>
  <cp:lastModifiedBy>منار العنزي</cp:lastModifiedBy>
  <dcterms:created xsi:type="dcterms:W3CDTF">2025-11-18T20:51:17Z</dcterms:created>
  <dcterms:modified xsi:type="dcterms:W3CDTF">2025-11-19T20:08:08Z</dcterms:modified>
</cp:coreProperties>
</file>